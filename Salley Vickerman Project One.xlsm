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lley\Documents\NIYO\Excel\"/>
    </mc:Choice>
  </mc:AlternateContent>
  <xr:revisionPtr revIDLastSave="0" documentId="13_ncr:1_{FF8FAD04-45FB-4DDB-B447-CD72D3F63AC4}" xr6:coauthVersionLast="47" xr6:coauthVersionMax="47" xr10:uidLastSave="{00000000-0000-0000-0000-000000000000}"/>
  <bookViews>
    <workbookView xWindow="-96" yWindow="-96" windowWidth="19392" windowHeight="10392" firstSheet="1" activeTab="3" xr2:uid="{00000000-000D-0000-FFFF-FFFF00000000}"/>
  </bookViews>
  <sheets>
    <sheet name="Project One Instructions" sheetId="1" r:id="rId1"/>
    <sheet name="Formulas" sheetId="2" r:id="rId2"/>
    <sheet name="Charting" sheetId="3" r:id="rId3"/>
    <sheet name="Analysis" sheetId="4" r:id="rId4"/>
    <sheet name="Submission" sheetId="5" r:id="rId5"/>
    <sheet name="Formulas Solutions" sheetId="6" state="hidden" r:id="rId6"/>
    <sheet name="Charting Solutions" sheetId="7" state="hidden" r:id="rId7"/>
  </sheets>
  <definedNames>
    <definedName name="_xlnm._FilterDatabase" localSheetId="3" hidden="1">Analysis!$A$3:$E$3</definedName>
    <definedName name="Interest_rate">#REF!</definedName>
    <definedName name="Principal">#REF!</definedName>
    <definedName name="SALES">Formulas!$B$40:$B$43</definedName>
    <definedName name="Term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1" roundtripDataSignature="AMtx7mjsJxXJ8B0xiwpZCMf8+HBqBaYN1A=="/>
    </ext>
  </extLst>
</workbook>
</file>

<file path=xl/calcChain.xml><?xml version="1.0" encoding="utf-8"?>
<calcChain xmlns="http://schemas.openxmlformats.org/spreadsheetml/2006/main">
  <c r="E19" i="4" l="1"/>
  <c r="E13" i="4"/>
  <c r="E4" i="4"/>
  <c r="E11" i="4"/>
  <c r="E16" i="4"/>
  <c r="E18" i="4"/>
  <c r="E9" i="4"/>
  <c r="E6" i="4"/>
  <c r="E14" i="4"/>
  <c r="E12" i="4"/>
  <c r="E10" i="4"/>
  <c r="E15" i="4"/>
  <c r="E8" i="4"/>
  <c r="E17" i="4"/>
  <c r="E7" i="4"/>
  <c r="C63" i="2"/>
  <c r="B63" i="2" s="1"/>
  <c r="E5" i="4"/>
  <c r="B67" i="2" l="1"/>
  <c r="B65" i="2"/>
  <c r="B50" i="2" l="1"/>
  <c r="B48" i="2"/>
  <c r="B45" i="2"/>
  <c r="C24" i="2"/>
  <c r="D24" i="2"/>
  <c r="B24" i="2"/>
  <c r="H9" i="4" l="1"/>
  <c r="C11" i="2"/>
  <c r="D11" i="2"/>
  <c r="B11" i="2"/>
  <c r="B46" i="2"/>
  <c r="B47" i="2"/>
  <c r="D31" i="2"/>
  <c r="C31" i="2"/>
  <c r="B31" i="2"/>
</calcChain>
</file>

<file path=xl/sharedStrings.xml><?xml version="1.0" encoding="utf-8"?>
<sst xmlns="http://schemas.openxmlformats.org/spreadsheetml/2006/main" count="134" uniqueCount="98">
  <si>
    <t xml:space="preserve">Data Analytics Bootcamp: Project One </t>
  </si>
  <si>
    <t>Project One</t>
  </si>
  <si>
    <t>Week Four</t>
  </si>
  <si>
    <t>This is the first project of your Excel course which should be helpful in understanding and implementing the information that we have learnt in Excel</t>
  </si>
  <si>
    <t>The project will focus on writing a few different formulas and functions and creating data visualisation charts.</t>
  </si>
  <si>
    <t>As this is the first project set, I have included some helpful tips which esentially walk you through the steps</t>
  </si>
  <si>
    <t>To proceed, please click on the Formula and Charting Tabs to complete the tasks</t>
  </si>
  <si>
    <t>Practice: Formulas</t>
  </si>
  <si>
    <t>Please fill in the yellow boxes</t>
  </si>
  <si>
    <t>Exercise 1 - Using Formulas to find the total</t>
  </si>
  <si>
    <t>London</t>
  </si>
  <si>
    <t>Newcastle</t>
  </si>
  <si>
    <t>Manchester</t>
  </si>
  <si>
    <t>Quarter 1</t>
  </si>
  <si>
    <t>Quarter 2</t>
  </si>
  <si>
    <t>Quarter 3</t>
  </si>
  <si>
    <t>Total:</t>
  </si>
  <si>
    <t>Exercise 2 - Find the Tax Rate</t>
  </si>
  <si>
    <t>Tax rate:</t>
  </si>
  <si>
    <t>Tax Amount:</t>
  </si>
  <si>
    <t>Example of exercise 2</t>
  </si>
  <si>
    <t>March</t>
  </si>
  <si>
    <t>April</t>
  </si>
  <si>
    <t>May</t>
  </si>
  <si>
    <t>Tax:</t>
  </si>
  <si>
    <t>Exercise 3 - Using Excel Formulas continued.</t>
  </si>
  <si>
    <t>Sales</t>
  </si>
  <si>
    <t>June</t>
  </si>
  <si>
    <t>July</t>
  </si>
  <si>
    <t>August</t>
  </si>
  <si>
    <t>SUM Formula:</t>
  </si>
  <si>
    <t>AVERAGE Formula:</t>
  </si>
  <si>
    <t>MIN Formula:</t>
  </si>
  <si>
    <t>MAX Formula:</t>
  </si>
  <si>
    <t>TODAY Formula:</t>
  </si>
  <si>
    <t>Exercise 4 - Using Excel Logical Functions</t>
  </si>
  <si>
    <t>Sales (£ millions)</t>
  </si>
  <si>
    <t>Quarter 4</t>
  </si>
  <si>
    <t xml:space="preserve">Which quarter performed best? </t>
  </si>
  <si>
    <t>What was the median?</t>
  </si>
  <si>
    <t>What is the mean?</t>
  </si>
  <si>
    <t>Practice: Charting</t>
  </si>
  <si>
    <t>Exercise 5: Generate a Bar Chart using the data below</t>
  </si>
  <si>
    <t>Please insert your chart here:</t>
  </si>
  <si>
    <t>Exercise 6: Create a Line Chart using the table below</t>
  </si>
  <si>
    <t>January</t>
  </si>
  <si>
    <t>February</t>
  </si>
  <si>
    <t>Marketing</t>
  </si>
  <si>
    <t>Overhead</t>
  </si>
  <si>
    <t>R&amp;D</t>
  </si>
  <si>
    <t>Exercise 7: Create a Scatter Plot (XY Chart) using the table below</t>
  </si>
  <si>
    <t>X</t>
  </si>
  <si>
    <t>Y</t>
  </si>
  <si>
    <t>Practice: Data Analysis</t>
  </si>
  <si>
    <r>
      <rPr>
        <b/>
        <sz val="10"/>
        <color theme="1"/>
        <rFont val="Arial"/>
        <family val="2"/>
      </rPr>
      <t xml:space="preserve">Exercise 8: </t>
    </r>
    <r>
      <rPr>
        <sz val="8"/>
        <color theme="1"/>
        <rFont val="Arial"/>
        <family val="2"/>
      </rPr>
      <t>Please note, you can use any method to find the answer.</t>
    </r>
  </si>
  <si>
    <t>Student Names</t>
  </si>
  <si>
    <t>English Score</t>
  </si>
  <si>
    <t>Maths Score</t>
  </si>
  <si>
    <t>Science Score</t>
  </si>
  <si>
    <t>Draw some key analysis in this dataset</t>
  </si>
  <si>
    <t>Ben</t>
  </si>
  <si>
    <t>Funke</t>
  </si>
  <si>
    <t>Find the top three highest performing students for Maths</t>
  </si>
  <si>
    <t>John</t>
  </si>
  <si>
    <t>Find the top three highest performing students for English</t>
  </si>
  <si>
    <t>William</t>
  </si>
  <si>
    <t>Find the top three highest performing students for Science</t>
  </si>
  <si>
    <t>Greg</t>
  </si>
  <si>
    <t>Sophia</t>
  </si>
  <si>
    <t>Find the average English score</t>
  </si>
  <si>
    <t>Katy</t>
  </si>
  <si>
    <t>Find the student(s) with the highest variance (range) of scores</t>
  </si>
  <si>
    <t>Annie</t>
  </si>
  <si>
    <t>Thomas</t>
  </si>
  <si>
    <t>Maria</t>
  </si>
  <si>
    <t>With the information above, write a few lines on the overall analysis of the dataset (3 to 5 lines)</t>
  </si>
  <si>
    <t>Sally</t>
  </si>
  <si>
    <t>Simon</t>
  </si>
  <si>
    <t>Lily</t>
  </si>
  <si>
    <t>Junior</t>
  </si>
  <si>
    <t>Lisa</t>
  </si>
  <si>
    <t>Ciara</t>
  </si>
  <si>
    <t>To be submitted via LMS or Data@NiyoEnterprise.com</t>
  </si>
  <si>
    <t>Exercise 1</t>
  </si>
  <si>
    <t>Exercise 2</t>
  </si>
  <si>
    <t>Exercise 3</t>
  </si>
  <si>
    <t>Exercise 4</t>
  </si>
  <si>
    <t>Exercise 5</t>
  </si>
  <si>
    <t>Exercise 6</t>
  </si>
  <si>
    <t>Exercise 7</t>
  </si>
  <si>
    <t xml:space="preserve"> </t>
  </si>
  <si>
    <t>=VLOOKUP(MAX($B$58:$B$61), $A$58:$A$61, 1, FALSE)</t>
  </si>
  <si>
    <t>Variance</t>
  </si>
  <si>
    <t xml:space="preserve">* Although Lisa had the top mark in English, Funke also excelled as had the 2nd highest score despite being very poor in Maths and average in Science  </t>
  </si>
  <si>
    <t>* Ben exceeded expectations in Maths, sharing the top mark with Lisa, as he was below average in English and had poor results in Science</t>
  </si>
  <si>
    <t>* Ciara exceeded expectations in Science as achieved the top mark yet did very poor in English and was below average in Maths</t>
  </si>
  <si>
    <t>* Lisa is the most consistent student in her scores across all 3 subjects</t>
  </si>
  <si>
    <t>NB. I was unable to get VLOOKUP to work so used Index and Match functions, then hid the contents of cell C63 using formating;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</si>
</sst>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£&quot;#,##0.00"/>
    <numFmt numFmtId="165" formatCode="m/d/yy"/>
    <numFmt numFmtId="166" formatCode=";;;"/>
  </numFmts>
  <fonts count="38" x14ac:knownFonts="1">
    <font>
      <sz val="10"/>
      <color rgb="FF000000"/>
      <name val="Arial"/>
    </font>
    <font>
      <b/>
      <sz val="14"/>
      <color theme="1"/>
      <name val="Microsoft JhengHei"/>
      <family val="2"/>
    </font>
    <font>
      <sz val="10"/>
      <name val="Arial"/>
      <family val="2"/>
    </font>
    <font>
      <b/>
      <sz val="10"/>
      <color theme="1"/>
      <name val="Microsoft JhengHei"/>
      <family val="2"/>
    </font>
    <font>
      <sz val="10"/>
      <color theme="1"/>
      <name val="Microsoft JhengHei"/>
      <family val="2"/>
    </font>
    <font>
      <i/>
      <sz val="10"/>
      <color theme="1"/>
      <name val="Microsoft JhengHei"/>
      <family val="2"/>
    </font>
    <font>
      <b/>
      <u/>
      <sz val="12"/>
      <color rgb="FF3A3838"/>
      <name val="Microsoft JhengHei"/>
      <family val="2"/>
    </font>
    <font>
      <u/>
      <sz val="10"/>
      <color rgb="FF3A3838"/>
      <name val="Microsoft JhengHei"/>
      <family val="2"/>
    </font>
    <font>
      <b/>
      <sz val="10"/>
      <name val="Microsoft JhengHei"/>
      <family val="2"/>
    </font>
    <font>
      <b/>
      <sz val="10"/>
      <color rgb="FFFF0000"/>
      <name val="Microsoft JhengHei"/>
      <family val="2"/>
    </font>
    <font>
      <sz val="10"/>
      <name val="Microsoft JhengHei"/>
      <family val="2"/>
    </font>
    <font>
      <sz val="8"/>
      <color theme="1"/>
      <name val="Microsoft JhengHei"/>
      <family val="2"/>
    </font>
    <font>
      <sz val="10"/>
      <color rgb="FF008080"/>
      <name val="Microsoft JhengHei"/>
      <family val="2"/>
    </font>
    <font>
      <b/>
      <sz val="10"/>
      <color rgb="FF008080"/>
      <name val="Microsoft JhengHei"/>
      <family val="2"/>
    </font>
    <font>
      <b/>
      <sz val="10"/>
      <color rgb="FF666699"/>
      <name val="Microsoft JhengHei"/>
      <family val="2"/>
    </font>
    <font>
      <b/>
      <u/>
      <sz val="12"/>
      <color rgb="FF3A3838"/>
      <name val="Microsoft JhengHei"/>
      <family val="2"/>
    </font>
    <font>
      <sz val="10"/>
      <color theme="1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6"/>
      <color theme="1"/>
      <name val="Microsoft JhengHei"/>
      <family val="2"/>
    </font>
    <font>
      <sz val="8"/>
      <color theme="1"/>
      <name val="Arial"/>
      <family val="2"/>
    </font>
    <font>
      <sz val="10"/>
      <color theme="1"/>
      <name val="Calibri"/>
      <family val="2"/>
    </font>
    <font>
      <sz val="10"/>
      <color rgb="FF000000"/>
      <name val="Arial"/>
      <family val="2"/>
    </font>
    <font>
      <b/>
      <u/>
      <sz val="12"/>
      <color rgb="FF3A3838"/>
      <name val="Microsoft JhengHei"/>
      <family val="2"/>
    </font>
    <font>
      <b/>
      <sz val="10"/>
      <color rgb="FF008080"/>
      <name val="Microsoft JhengHei"/>
      <family val="2"/>
    </font>
    <font>
      <b/>
      <sz val="10"/>
      <color theme="1"/>
      <name val="Microsoft JhengHei"/>
      <family val="2"/>
    </font>
    <font>
      <b/>
      <i/>
      <sz val="10"/>
      <color theme="1"/>
      <name val="Microsoft JhengHei"/>
      <family val="2"/>
    </font>
    <font>
      <sz val="8"/>
      <name val="Arial"/>
      <family val="2"/>
    </font>
    <font>
      <sz val="10"/>
      <name val="Arial"/>
      <family val="2"/>
    </font>
    <font>
      <sz val="10"/>
      <color theme="1"/>
      <name val="Microsoft JhengHei"/>
      <family val="2"/>
    </font>
    <font>
      <b/>
      <i/>
      <sz val="10"/>
      <color rgb="FF00000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000"/>
        <bgColor rgb="FFFFC000"/>
      </patternFill>
    </fill>
    <fill>
      <patternFill patternType="solid">
        <fgColor theme="0"/>
        <bgColor theme="0"/>
      </patternFill>
    </fill>
    <fill>
      <patternFill patternType="solid">
        <fgColor rgb="FFCCFFCC"/>
        <bgColor rgb="FFCCFFCC"/>
      </patternFill>
    </fill>
    <fill>
      <patternFill patternType="solid">
        <fgColor rgb="FFC0C0C0"/>
        <bgColor rgb="FFC0C0C0"/>
      </patternFill>
    </fill>
    <fill>
      <patternFill patternType="solid">
        <fgColor theme="0"/>
        <bgColor rgb="FFFFC000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09">
    <xf numFmtId="0" fontId="0" fillId="0" borderId="0" xfId="0" applyFont="1" applyAlignme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/>
    <xf numFmtId="0" fontId="7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164" fontId="4" fillId="0" borderId="0" xfId="0" applyNumberFormat="1" applyFont="1"/>
    <xf numFmtId="164" fontId="4" fillId="0" borderId="9" xfId="0" applyNumberFormat="1" applyFont="1" applyBorder="1"/>
    <xf numFmtId="0" fontId="3" fillId="0" borderId="0" xfId="0" applyFont="1" applyAlignment="1">
      <alignment horizontal="right"/>
    </xf>
    <xf numFmtId="164" fontId="9" fillId="2" borderId="10" xfId="0" applyNumberFormat="1" applyFont="1" applyFill="1" applyBorder="1"/>
    <xf numFmtId="0" fontId="4" fillId="0" borderId="0" xfId="0" applyFont="1" applyAlignment="1"/>
    <xf numFmtId="0" fontId="3" fillId="0" borderId="0" xfId="0" applyFont="1"/>
    <xf numFmtId="9" fontId="3" fillId="0" borderId="0" xfId="0" applyNumberFormat="1" applyFont="1" applyAlignment="1">
      <alignment horizontal="center"/>
    </xf>
    <xf numFmtId="2" fontId="4" fillId="0" borderId="0" xfId="0" applyNumberFormat="1" applyFont="1"/>
    <xf numFmtId="2" fontId="10" fillId="0" borderId="0" xfId="0" applyNumberFormat="1" applyFont="1" applyAlignment="1"/>
    <xf numFmtId="2" fontId="4" fillId="0" borderId="9" xfId="0" applyNumberFormat="1" applyFont="1" applyBorder="1"/>
    <xf numFmtId="2" fontId="9" fillId="2" borderId="10" xfId="0" applyNumberFormat="1" applyFont="1" applyFill="1" applyBorder="1"/>
    <xf numFmtId="0" fontId="11" fillId="0" borderId="0" xfId="0" applyFont="1" applyAlignment="1"/>
    <xf numFmtId="0" fontId="4" fillId="4" borderId="11" xfId="0" applyFont="1" applyFill="1" applyBorder="1"/>
    <xf numFmtId="0" fontId="12" fillId="4" borderId="12" xfId="0" applyFont="1" applyFill="1" applyBorder="1" applyAlignment="1">
      <alignment horizontal="center"/>
    </xf>
    <xf numFmtId="0" fontId="12" fillId="4" borderId="13" xfId="0" applyFont="1" applyFill="1" applyBorder="1" applyAlignment="1">
      <alignment horizontal="center"/>
    </xf>
    <xf numFmtId="0" fontId="12" fillId="4" borderId="14" xfId="0" applyFont="1" applyFill="1" applyBorder="1" applyAlignment="1">
      <alignment horizontal="right"/>
    </xf>
    <xf numFmtId="164" fontId="4" fillId="4" borderId="10" xfId="0" applyNumberFormat="1" applyFont="1" applyFill="1" applyBorder="1"/>
    <xf numFmtId="164" fontId="4" fillId="4" borderId="15" xfId="0" applyNumberFormat="1" applyFont="1" applyFill="1" applyBorder="1"/>
    <xf numFmtId="164" fontId="4" fillId="4" borderId="16" xfId="0" applyNumberFormat="1" applyFont="1" applyFill="1" applyBorder="1"/>
    <xf numFmtId="164" fontId="4" fillId="4" borderId="17" xfId="0" applyNumberFormat="1" applyFont="1" applyFill="1" applyBorder="1"/>
    <xf numFmtId="0" fontId="12" fillId="4" borderId="18" xfId="0" applyFont="1" applyFill="1" applyBorder="1" applyAlignment="1">
      <alignment horizontal="right"/>
    </xf>
    <xf numFmtId="164" fontId="13" fillId="4" borderId="16" xfId="0" applyNumberFormat="1" applyFont="1" applyFill="1" applyBorder="1"/>
    <xf numFmtId="164" fontId="13" fillId="4" borderId="17" xfId="0" applyNumberFormat="1" applyFont="1" applyFill="1" applyBorder="1"/>
    <xf numFmtId="14" fontId="4" fillId="0" borderId="0" xfId="0" applyNumberFormat="1" applyFont="1"/>
    <xf numFmtId="0" fontId="4" fillId="0" borderId="19" xfId="0" applyFont="1" applyBorder="1"/>
    <xf numFmtId="0" fontId="8" fillId="5" borderId="20" xfId="0" applyFont="1" applyFill="1" applyBorder="1" applyAlignment="1">
      <alignment horizontal="center"/>
    </xf>
    <xf numFmtId="0" fontId="8" fillId="5" borderId="21" xfId="0" applyFont="1" applyFill="1" applyBorder="1" applyAlignment="1">
      <alignment horizontal="right"/>
    </xf>
    <xf numFmtId="164" fontId="10" fillId="0" borderId="22" xfId="0" applyNumberFormat="1" applyFont="1" applyBorder="1"/>
    <xf numFmtId="0" fontId="3" fillId="5" borderId="23" xfId="0" applyFont="1" applyFill="1" applyBorder="1" applyAlignment="1">
      <alignment horizontal="right"/>
    </xf>
    <xf numFmtId="164" fontId="10" fillId="0" borderId="24" xfId="0" applyNumberFormat="1" applyFont="1" applyBorder="1"/>
    <xf numFmtId="164" fontId="4" fillId="0" borderId="24" xfId="0" applyNumberFormat="1" applyFont="1" applyBorder="1"/>
    <xf numFmtId="0" fontId="3" fillId="5" borderId="25" xfId="0" applyFont="1" applyFill="1" applyBorder="1" applyAlignment="1">
      <alignment horizontal="right"/>
    </xf>
    <xf numFmtId="164" fontId="4" fillId="0" borderId="26" xfId="0" applyNumberFormat="1" applyFont="1" applyBorder="1"/>
    <xf numFmtId="165" fontId="14" fillId="2" borderId="19" xfId="0" applyNumberFormat="1" applyFont="1" applyFill="1" applyBorder="1" applyAlignment="1">
      <alignment horizontal="center"/>
    </xf>
    <xf numFmtId="0" fontId="15" fillId="0" borderId="0" xfId="0" applyFont="1"/>
    <xf numFmtId="0" fontId="14" fillId="0" borderId="0" xfId="0" applyFont="1"/>
    <xf numFmtId="0" fontId="1" fillId="2" borderId="10" xfId="0" applyFont="1" applyFill="1" applyBorder="1" applyAlignment="1">
      <alignment vertical="center"/>
    </xf>
    <xf numFmtId="0" fontId="17" fillId="0" borderId="27" xfId="0" applyFont="1" applyBorder="1"/>
    <xf numFmtId="0" fontId="18" fillId="0" borderId="28" xfId="0" applyFont="1" applyBorder="1" applyAlignment="1">
      <alignment horizontal="center"/>
    </xf>
    <xf numFmtId="0" fontId="18" fillId="0" borderId="29" xfId="0" applyFont="1" applyBorder="1"/>
    <xf numFmtId="164" fontId="17" fillId="0" borderId="30" xfId="0" applyNumberFormat="1" applyFont="1" applyBorder="1"/>
    <xf numFmtId="0" fontId="18" fillId="0" borderId="31" xfId="0" applyFont="1" applyBorder="1"/>
    <xf numFmtId="164" fontId="17" fillId="0" borderId="32" xfId="0" applyNumberFormat="1" applyFont="1" applyBorder="1"/>
    <xf numFmtId="0" fontId="19" fillId="0" borderId="33" xfId="0" applyFont="1" applyBorder="1" applyAlignment="1">
      <alignment horizontal="center"/>
    </xf>
    <xf numFmtId="0" fontId="19" fillId="0" borderId="28" xfId="0" applyFont="1" applyBorder="1" applyAlignment="1">
      <alignment horizontal="center"/>
    </xf>
    <xf numFmtId="0" fontId="18" fillId="0" borderId="29" xfId="0" applyFont="1" applyBorder="1" applyAlignment="1">
      <alignment horizontal="right"/>
    </xf>
    <xf numFmtId="164" fontId="17" fillId="0" borderId="0" xfId="0" applyNumberFormat="1" applyFont="1"/>
    <xf numFmtId="0" fontId="18" fillId="0" borderId="31" xfId="0" applyFont="1" applyBorder="1" applyAlignment="1">
      <alignment horizontal="right"/>
    </xf>
    <xf numFmtId="164" fontId="17" fillId="0" borderId="9" xfId="0" applyNumberFormat="1" applyFont="1" applyBorder="1"/>
    <xf numFmtId="0" fontId="20" fillId="0" borderId="19" xfId="0" applyFont="1" applyBorder="1" applyAlignment="1">
      <alignment horizontal="center" vertical="top" wrapText="1"/>
    </xf>
    <xf numFmtId="0" fontId="0" fillId="0" borderId="34" xfId="0" applyFont="1" applyBorder="1" applyAlignment="1">
      <alignment horizontal="right" vertical="top" wrapText="1"/>
    </xf>
    <xf numFmtId="0" fontId="0" fillId="0" borderId="0" xfId="0" applyFont="1" applyAlignment="1">
      <alignment horizontal="right" vertical="top" wrapText="1"/>
    </xf>
    <xf numFmtId="0" fontId="20" fillId="0" borderId="26" xfId="0" applyFont="1" applyBorder="1" applyAlignment="1">
      <alignment horizontal="center" vertical="top" wrapText="1"/>
    </xf>
    <xf numFmtId="0" fontId="0" fillId="0" borderId="32" xfId="0" applyFont="1" applyBorder="1" applyAlignment="1">
      <alignment horizontal="right" vertical="top" wrapText="1"/>
    </xf>
    <xf numFmtId="0" fontId="1" fillId="2" borderId="0" xfId="0" applyFont="1" applyFill="1" applyAlignment="1">
      <alignment vertical="center"/>
    </xf>
    <xf numFmtId="0" fontId="1" fillId="2" borderId="10" xfId="0" applyFont="1" applyFill="1" applyBorder="1" applyAlignment="1">
      <alignment vertical="center"/>
    </xf>
    <xf numFmtId="0" fontId="21" fillId="0" borderId="0" xfId="0" applyFont="1" applyAlignment="1"/>
    <xf numFmtId="1" fontId="22" fillId="0" borderId="0" xfId="0" applyNumberFormat="1" applyFont="1" applyAlignment="1"/>
    <xf numFmtId="0" fontId="22" fillId="0" borderId="0" xfId="0" applyFont="1" applyAlignment="1"/>
    <xf numFmtId="0" fontId="16" fillId="0" borderId="0" xfId="0" applyFont="1" applyAlignment="1"/>
    <xf numFmtId="1" fontId="16" fillId="0" borderId="0" xfId="0" applyNumberFormat="1" applyFont="1" applyAlignment="1"/>
    <xf numFmtId="1" fontId="2" fillId="0" borderId="0" xfId="0" applyNumberFormat="1" applyFont="1" applyAlignment="1"/>
    <xf numFmtId="1" fontId="23" fillId="0" borderId="0" xfId="0" applyNumberFormat="1" applyFont="1" applyAlignment="1"/>
    <xf numFmtId="1" fontId="16" fillId="2" borderId="0" xfId="0" applyNumberFormat="1" applyFont="1" applyFill="1" applyAlignment="1"/>
    <xf numFmtId="1" fontId="24" fillId="0" borderId="0" xfId="0" applyNumberFormat="1" applyFont="1" applyAlignment="1"/>
    <xf numFmtId="1" fontId="24" fillId="0" borderId="0" xfId="0" applyNumberFormat="1" applyFont="1" applyAlignment="1">
      <alignment wrapText="1"/>
    </xf>
    <xf numFmtId="0" fontId="25" fillId="0" borderId="0" xfId="0" applyFont="1"/>
    <xf numFmtId="0" fontId="0" fillId="0" borderId="0" xfId="0" applyFont="1" applyAlignment="1"/>
    <xf numFmtId="0" fontId="0" fillId="0" borderId="0" xfId="0" applyFont="1" applyAlignment="1"/>
    <xf numFmtId="164" fontId="4" fillId="2" borderId="10" xfId="0" applyNumberFormat="1" applyFont="1" applyFill="1" applyBorder="1"/>
    <xf numFmtId="164" fontId="13" fillId="2" borderId="10" xfId="0" applyNumberFormat="1" applyFont="1" applyFill="1" applyBorder="1"/>
    <xf numFmtId="0" fontId="28" fillId="0" borderId="0" xfId="0" applyFont="1" applyAlignment="1"/>
    <xf numFmtId="0" fontId="29" fillId="0" borderId="0" xfId="0" applyFont="1" applyAlignment="1"/>
    <xf numFmtId="164" fontId="30" fillId="6" borderId="10" xfId="0" quotePrefix="1" applyNumberFormat="1" applyFont="1" applyFill="1" applyBorder="1" applyAlignment="1"/>
    <xf numFmtId="0" fontId="32" fillId="0" borderId="0" xfId="0" applyFont="1"/>
    <xf numFmtId="164" fontId="13" fillId="2" borderId="10" xfId="0" applyNumberFormat="1" applyFont="1" applyFill="1" applyBorder="1" applyAlignment="1">
      <alignment horizontal="right"/>
    </xf>
    <xf numFmtId="0" fontId="27" fillId="0" borderId="0" xfId="0" applyFont="1" applyAlignment="1"/>
    <xf numFmtId="1" fontId="16" fillId="7" borderId="0" xfId="0" applyNumberFormat="1" applyFont="1" applyFill="1" applyAlignment="1"/>
    <xf numFmtId="0" fontId="0" fillId="0" borderId="0" xfId="0" applyFont="1" applyAlignment="1"/>
    <xf numFmtId="0" fontId="27" fillId="7" borderId="0" xfId="0" applyFont="1" applyFill="1" applyAlignment="1"/>
    <xf numFmtId="0" fontId="16" fillId="7" borderId="0" xfId="0" applyFont="1" applyFill="1" applyAlignment="1"/>
    <xf numFmtId="164" fontId="35" fillId="0" borderId="0" xfId="0" applyNumberFormat="1" applyFont="1"/>
    <xf numFmtId="1" fontId="34" fillId="0" borderId="0" xfId="0" applyNumberFormat="1" applyFont="1" applyAlignment="1"/>
    <xf numFmtId="0" fontId="0" fillId="0" borderId="0" xfId="0" applyFont="1" applyAlignment="1"/>
    <xf numFmtId="1" fontId="27" fillId="7" borderId="0" xfId="0" applyNumberFormat="1" applyFont="1" applyFill="1" applyAlignment="1"/>
    <xf numFmtId="166" fontId="31" fillId="8" borderId="35" xfId="0" applyNumberFormat="1" applyFont="1" applyFill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4" fillId="0" borderId="0" xfId="0" applyFont="1" applyAlignment="1">
      <alignment horizontal="center" vertical="center" wrapText="1"/>
    </xf>
    <xf numFmtId="0" fontId="0" fillId="0" borderId="0" xfId="0" applyFont="1" applyAlignment="1"/>
    <xf numFmtId="0" fontId="1" fillId="3" borderId="3" xfId="0" applyFont="1" applyFill="1" applyBorder="1" applyAlignment="1">
      <alignment horizontal="center" vertical="center"/>
    </xf>
    <xf numFmtId="0" fontId="2" fillId="0" borderId="4" xfId="0" applyFont="1" applyBorder="1"/>
    <xf numFmtId="0" fontId="2" fillId="0" borderId="5" xfId="0" applyFont="1" applyBorder="1"/>
    <xf numFmtId="0" fontId="5" fillId="0" borderId="6" xfId="0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16" fillId="0" borderId="0" xfId="0" applyFont="1" applyAlignment="1">
      <alignment horizontal="center"/>
    </xf>
    <xf numFmtId="0" fontId="36" fillId="7" borderId="0" xfId="0" applyFont="1" applyFill="1" applyAlignment="1">
      <alignment vertical="center" wrapText="1"/>
    </xf>
    <xf numFmtId="0" fontId="36" fillId="0" borderId="0" xfId="0" applyFont="1" applyAlignment="1">
      <alignment vertical="center" wrapText="1"/>
    </xf>
    <xf numFmtId="0" fontId="37" fillId="2" borderId="0" xfId="0" applyFont="1" applyFill="1" applyAlignment="1">
      <alignment vertical="center" wrapText="1"/>
    </xf>
    <xf numFmtId="1" fontId="37" fillId="2" borderId="0" xfId="0" applyNumberFormat="1" applyFon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u="sng"/>
              <a:t>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Charting!$B$7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5F-44A3-9A2E-A14D1C60DD7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65F-44A3-9A2E-A14D1C60DD72}"/>
              </c:ext>
            </c:extLst>
          </c:dPt>
          <c:cat>
            <c:strRef>
              <c:f>Charting!$A$8:$A$10</c:f>
              <c:strCache>
                <c:ptCount val="3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</c:strCache>
            </c:strRef>
          </c:cat>
          <c:val>
            <c:numRef>
              <c:f>Charting!$B$8:$B$10</c:f>
              <c:numCache>
                <c:formatCode>"£"#,##0.00</c:formatCode>
                <c:ptCount val="3"/>
                <c:pt idx="0">
                  <c:v>500</c:v>
                </c:pt>
                <c:pt idx="1">
                  <c:v>550</c:v>
                </c:pt>
                <c:pt idx="2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1-4BF4-9270-F342389A9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377824"/>
        <c:axId val="277376840"/>
      </c:barChart>
      <c:catAx>
        <c:axId val="27737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376840"/>
        <c:crosses val="autoZero"/>
        <c:auto val="1"/>
        <c:lblAlgn val="ctr"/>
        <c:lblOffset val="100"/>
        <c:noMultiLvlLbl val="0"/>
      </c:catAx>
      <c:valAx>
        <c:axId val="27737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37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sng" baseline="0"/>
              <a:t>Line Chart</a:t>
            </a:r>
          </a:p>
        </c:rich>
      </c:tx>
      <c:layout>
        <c:manualLayout>
          <c:xMode val="edge"/>
          <c:yMode val="edge"/>
          <c:x val="0.35620627381458442"/>
          <c:y val="1.3689253935660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89235738185163"/>
          <c:y val="0.20212183436002737"/>
          <c:w val="0.78185554294078985"/>
          <c:h val="0.4825230265108032"/>
        </c:manualLayout>
      </c:layout>
      <c:lineChart>
        <c:grouping val="standard"/>
        <c:varyColors val="0"/>
        <c:ser>
          <c:idx val="0"/>
          <c:order val="0"/>
          <c:tx>
            <c:strRef>
              <c:f>Charting!$A$19</c:f>
              <c:strCache>
                <c:ptCount val="1"/>
                <c:pt idx="0">
                  <c:v>Marketing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6482239316499094E-2"/>
                  <c:y val="-4.487049023139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0F-4AC8-A7DF-BF5959AD68C2}"/>
                </c:ext>
              </c:extLst>
            </c:dLbl>
            <c:dLbl>
              <c:idx val="1"/>
              <c:layout>
                <c:manualLayout>
                  <c:x val="-6.0421028669114092E-2"/>
                  <c:y val="-3.79593844653579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0F-4AC8-A7DF-BF5959AD68C2}"/>
                </c:ext>
              </c:extLst>
            </c:dLbl>
            <c:dLbl>
              <c:idx val="2"/>
              <c:layout>
                <c:manualLayout>
                  <c:x val="-7.617618607957409E-2"/>
                  <c:y val="-5.86927017634747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0F-4AC8-A7DF-BF5959AD68C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Charting!$B$18:$D$18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Charting!$B$19:$D$19</c:f>
              <c:numCache>
                <c:formatCode>"£"#,##0.00</c:formatCode>
                <c:ptCount val="3"/>
                <c:pt idx="0">
                  <c:v>350</c:v>
                </c:pt>
                <c:pt idx="1">
                  <c:v>400</c:v>
                </c:pt>
                <c:pt idx="2">
                  <c:v>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2-4071-9E6C-A2811EA0D311}"/>
            </c:ext>
          </c:extLst>
        </c:ser>
        <c:ser>
          <c:idx val="1"/>
          <c:order val="1"/>
          <c:tx>
            <c:strRef>
              <c:f>Charting!$A$20</c:f>
              <c:strCache>
                <c:ptCount val="1"/>
                <c:pt idx="0">
                  <c:v>Overhead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6.0421028669114092E-2"/>
                  <c:y val="-5.86927017634747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E0F-4AC8-A7DF-BF5959AD68C2}"/>
                </c:ext>
              </c:extLst>
            </c:dLbl>
            <c:dLbl>
              <c:idx val="1"/>
              <c:layout>
                <c:manualLayout>
                  <c:x val="-6.0421028669114092E-2"/>
                  <c:y val="-6.5603807529513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0F-4AC8-A7DF-BF5959AD68C2}"/>
                </c:ext>
              </c:extLst>
            </c:dLbl>
            <c:dLbl>
              <c:idx val="2"/>
              <c:layout>
                <c:manualLayout>
                  <c:x val="-6.0421028669114092E-2"/>
                  <c:y val="-6.56038075295136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0F-4AC8-A7DF-BF5959AD68C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Charting!$B$18:$D$18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Charting!$B$20:$D$20</c:f>
              <c:numCache>
                <c:formatCode>"£"#,##0.00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2-4071-9E6C-A2811EA0D311}"/>
            </c:ext>
          </c:extLst>
        </c:ser>
        <c:ser>
          <c:idx val="2"/>
          <c:order val="2"/>
          <c:tx>
            <c:strRef>
              <c:f>Charting!$A$21</c:f>
              <c:strCache>
                <c:ptCount val="1"/>
                <c:pt idx="0">
                  <c:v>R&amp;D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254344996388409E-2"/>
                  <c:y val="-4.487049023139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0F-4AC8-A7DF-BF5959AD68C2}"/>
                </c:ext>
              </c:extLst>
            </c:dLbl>
            <c:dLbl>
              <c:idx val="1"/>
              <c:layout>
                <c:manualLayout>
                  <c:x val="-6.0421028669114092E-2"/>
                  <c:y val="-3.79593844653579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0F-4AC8-A7DF-BF5959AD68C2}"/>
                </c:ext>
              </c:extLst>
            </c:dLbl>
            <c:dLbl>
              <c:idx val="2"/>
              <c:layout>
                <c:manualLayout>
                  <c:x val="-6.0421028669114092E-2"/>
                  <c:y val="-5.86927017634747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0F-4AC8-A7DF-BF5959AD68C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Charting!$B$18:$D$18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Charting!$B$21:$D$21</c:f>
              <c:numCache>
                <c:formatCode>"£"#,##0.00</c:formatCode>
                <c:ptCount val="3"/>
                <c:pt idx="0">
                  <c:v>500</c:v>
                </c:pt>
                <c:pt idx="1">
                  <c:v>550</c:v>
                </c:pt>
                <c:pt idx="2">
                  <c:v>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2-4071-9E6C-A2811EA0D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540696"/>
        <c:axId val="283523840"/>
      </c:lineChart>
      <c:catAx>
        <c:axId val="288540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523840"/>
        <c:crosses val="autoZero"/>
        <c:auto val="1"/>
        <c:lblAlgn val="ctr"/>
        <c:lblOffset val="100"/>
        <c:noMultiLvlLbl val="0"/>
      </c:catAx>
      <c:valAx>
        <c:axId val="283523840"/>
        <c:scaling>
          <c:orientation val="minMax"/>
          <c:max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0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540696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u="sng"/>
              <a:t>Scatter Plot (XY Chart)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Charting!$B$32:$E$32</c:f>
              <c:numCache>
                <c:formatCode>General</c:formatCode>
                <c:ptCount val="4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</c:numCache>
            </c:numRef>
          </c:xVal>
          <c:yVal>
            <c:numRef>
              <c:f>Charting!$B$33:$E$33</c:f>
              <c:numCache>
                <c:formatCode>General</c:formatCode>
                <c:ptCount val="4"/>
                <c:pt idx="0">
                  <c:v>200000</c:v>
                </c:pt>
                <c:pt idx="1">
                  <c:v>400000</c:v>
                </c:pt>
                <c:pt idx="2">
                  <c:v>600000</c:v>
                </c:pt>
                <c:pt idx="3">
                  <c:v>800000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Charting!$A$33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53F-4416-8A66-19012C038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62472"/>
        <c:axId val="95360832"/>
      </c:scatterChart>
      <c:valAx>
        <c:axId val="9536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60832"/>
        <c:crosses val="autoZero"/>
        <c:crossBetween val="midCat"/>
      </c:valAx>
      <c:valAx>
        <c:axId val="9536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6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5356</xdr:colOff>
      <xdr:row>2</xdr:row>
      <xdr:rowOff>148590</xdr:rowOff>
    </xdr:from>
    <xdr:to>
      <xdr:col>14</xdr:col>
      <xdr:colOff>232410</xdr:colOff>
      <xdr:row>12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721</xdr:colOff>
      <xdr:row>14</xdr:row>
      <xdr:rowOff>140970</xdr:rowOff>
    </xdr:from>
    <xdr:to>
      <xdr:col>14</xdr:col>
      <xdr:colOff>238846</xdr:colOff>
      <xdr:row>27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586740</xdr:colOff>
      <xdr:row>29</xdr:row>
      <xdr:rowOff>15240</xdr:rowOff>
    </xdr:from>
    <xdr:to>
      <xdr:col>14</xdr:col>
      <xdr:colOff>224790</xdr:colOff>
      <xdr:row>42</xdr:row>
      <xdr:rowOff>49530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1</xdr:row>
      <xdr:rowOff>38100</xdr:rowOff>
    </xdr:from>
    <xdr:ext cx="3009900" cy="32194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3845813" y="2170275"/>
          <a:ext cx="3000375" cy="3219450"/>
        </a:xfrm>
        <a:prstGeom prst="rect">
          <a:avLst/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200" b="1" i="0" u="none" strike="noStrike">
              <a:solidFill>
                <a:srgbClr val="FFC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Solution: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1. Check to see that the cell C11 at left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holds the SUM formula =SUM(C8:C10).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2. Make cell C11 the current cell.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3. Position the mouse pointer on the filled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black square at the lower right-hand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corner of cell C11 and drag the pointer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across to cell E11.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4. Examine the copied formulas in cells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D11 and E11. Excel has </a:t>
          </a:r>
          <a:r>
            <a:rPr lang="en-US" sz="1000" b="0" i="1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adjusted the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1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cell references</a:t>
          </a: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so they refer to the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correct values in their columns. That is,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=SUM(C8:C10) becomes =SUM(D8:D10)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and =SUM(E8:E10) etc.</a:t>
          </a:r>
          <a:endParaRPr sz="1400"/>
        </a:p>
      </xdr:txBody>
    </xdr:sp>
    <xdr:clientData fLocksWithSheet="0"/>
  </xdr:oneCellAnchor>
  <xdr:oneCellAnchor>
    <xdr:from>
      <xdr:col>6</xdr:col>
      <xdr:colOff>0</xdr:colOff>
      <xdr:row>1</xdr:row>
      <xdr:rowOff>0</xdr:rowOff>
    </xdr:from>
    <xdr:ext cx="2657475" cy="39624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4022025" y="1803563"/>
          <a:ext cx="2647950" cy="3952875"/>
        </a:xfrm>
        <a:prstGeom prst="rect">
          <a:avLst/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u="none" strike="noStrike">
              <a:solidFill>
                <a:srgbClr val="FFC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Solution: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000" b="0" i="0" u="none" strike="noStrike">
            <a:solidFill>
              <a:srgbClr val="000000"/>
            </a:solidFill>
            <a:latin typeface="Microsoft JhengHei"/>
            <a:ea typeface="Microsoft JhengHei"/>
            <a:cs typeface="Microsoft JhengHei"/>
            <a:sym typeface="Microsoft JhengHe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1. Check to see that the cell C35 at left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holds the formula =SUM(C32:C34)*C29.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2. Make cell C35 the current cell.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3. Position the mouse pointer on the filled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black square at the lower right-hand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corner of cell C11 and drag the pointer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across to cell E35.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The formulas in Cells D35 and E35 are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incorrect as copied. Excel has used its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default relative referencing in the copied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formulas but that's not appropriate for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the reference to the tax rate in Cell C29.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4. Modify the "master formula" in Cell C35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so it looks like this: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          =SUM(C32:C34)*$C$29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and then copy the modified formula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across for Quarters 2 and 3 to get the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correct results. </a:t>
          </a:r>
          <a:endParaRPr sz="1400"/>
        </a:p>
      </xdr:txBody>
    </xdr:sp>
    <xdr:clientData fLocksWithSheet="0"/>
  </xdr:oneCellAnchor>
  <xdr:oneCellAnchor>
    <xdr:from>
      <xdr:col>11</xdr:col>
      <xdr:colOff>0</xdr:colOff>
      <xdr:row>1</xdr:row>
      <xdr:rowOff>0</xdr:rowOff>
    </xdr:from>
    <xdr:ext cx="2686050" cy="24384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4007738" y="2565563"/>
          <a:ext cx="2676525" cy="2428875"/>
        </a:xfrm>
        <a:prstGeom prst="rect">
          <a:avLst/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u="none" strike="noStrike">
              <a:solidFill>
                <a:srgbClr val="FFC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Solution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000" b="0" i="0" u="none" strike="noStrike">
            <a:solidFill>
              <a:srgbClr val="000000"/>
            </a:solidFill>
            <a:latin typeface="Microsoft JhengHei"/>
            <a:ea typeface="Microsoft JhengHei"/>
            <a:cs typeface="Microsoft JhengHei"/>
            <a:sym typeface="Microsoft JhengHe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1. Write a function in each of Cells C64:C67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at left to calculate the sum, average,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minimum value, and maximum value in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the range C59:C62 (named SALES).  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000" b="0" i="0" u="none" strike="noStrike">
            <a:solidFill>
              <a:srgbClr val="000000"/>
            </a:solidFill>
            <a:latin typeface="Microsoft JhengHei"/>
            <a:ea typeface="Microsoft JhengHei"/>
            <a:cs typeface="Microsoft JhengHei"/>
            <a:sym typeface="Microsoft JhengHe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2. Enter the TODAY function in Cell C69 to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return the current date. The syntax of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the function is: =TODAY()</a:t>
          </a:r>
          <a:endParaRPr sz="1400"/>
        </a:p>
      </xdr:txBody>
    </xdr:sp>
    <xdr:clientData fLocksWithSheet="0"/>
  </xdr:oneCellAnchor>
  <xdr:oneCellAnchor>
    <xdr:from>
      <xdr:col>17</xdr:col>
      <xdr:colOff>0</xdr:colOff>
      <xdr:row>1</xdr:row>
      <xdr:rowOff>0</xdr:rowOff>
    </xdr:from>
    <xdr:ext cx="3086100" cy="476250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3807713" y="1398750"/>
          <a:ext cx="3076575" cy="4762500"/>
        </a:xfrm>
        <a:prstGeom prst="rect">
          <a:avLst/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u="none" strike="noStrike">
              <a:solidFill>
                <a:srgbClr val="FFC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Solution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000" b="0" i="0" u="none" strike="noStrike">
            <a:solidFill>
              <a:srgbClr val="000000"/>
            </a:solidFill>
            <a:latin typeface="Microsoft JhengHei"/>
            <a:ea typeface="Microsoft JhengHei"/>
            <a:cs typeface="Microsoft JhengHei"/>
            <a:sym typeface="Microsoft JhengHe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1. Write an IF function in Cell C82 that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compares the sales in Quarters 1 and 2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and returns the text "Q1 better than 2" or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"Q2 better than Q1". Your formula should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look like this: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=IF(C77&gt;C78, "Q1 better than Q2",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"Q2 better than Q1.")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2. Write an IF statement in Cell C84 that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includes a nested MAX function and that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returns the text "Exceeded $600M sales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in one quarter" if any quarter meets that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criteria or "Quota not met" if not. Your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formula should look like this: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=IF(MAX(C77:C80)&gt;600, "Exceeded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$600M sales in 1 quarter","Quota not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met")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3. Write an IF statement in Cell 86 that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compares sales in Q1 and Q2. If Q1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sales are greater, return the difference.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If Q1 sales are less, return the increase.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Your formula should look like this: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=IF(C77&gt;C78, C77-C78, C78-C77)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476250</xdr:colOff>
      <xdr:row>1</xdr:row>
      <xdr:rowOff>85725</xdr:rowOff>
    </xdr:from>
    <xdr:ext cx="2476500" cy="273367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4112513" y="2417925"/>
          <a:ext cx="2466975" cy="2724150"/>
        </a:xfrm>
        <a:prstGeom prst="rect">
          <a:avLst/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1. Select the range B7:C10 at left.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2. Click Insert, Recommend Charts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000" b="0" i="0" u="none" strike="noStrike">
            <a:solidFill>
              <a:srgbClr val="000000"/>
            </a:solidFill>
            <a:latin typeface="Microsoft JhengHei"/>
            <a:ea typeface="Microsoft JhengHei"/>
            <a:cs typeface="Microsoft JhengHei"/>
            <a:sym typeface="Microsoft JhengHe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i="0" u="none" strike="noStrik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Excel generates a default column chart on a new worksheet it adds to the workbook. Your column chart should look like this:</a:t>
          </a:r>
          <a:endParaRPr sz="1400"/>
        </a:p>
      </xdr:txBody>
    </xdr:sp>
    <xdr:clientData fLocksWithSheet="0"/>
  </xdr:oneCellAnchor>
  <xdr:oneCellAnchor>
    <xdr:from>
      <xdr:col>6</xdr:col>
      <xdr:colOff>0</xdr:colOff>
      <xdr:row>1</xdr:row>
      <xdr:rowOff>0</xdr:rowOff>
    </xdr:from>
    <xdr:ext cx="2705100" cy="28003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3993450" y="2384588"/>
          <a:ext cx="2705100" cy="2790825"/>
        </a:xfrm>
        <a:prstGeom prst="rect">
          <a:avLst/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1. Select the range B24:E27 at left.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2. Click the Chart Wizard button on Excel's 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Standard toolbar and walk through the 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four Wizard steps. Generate a bar chart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that looks something like the one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below.</a:t>
          </a:r>
          <a:endParaRPr sz="1400"/>
        </a:p>
      </xdr:txBody>
    </xdr:sp>
    <xdr:clientData fLocksWithSheet="0"/>
  </xdr:oneCellAnchor>
  <xdr:oneCellAnchor>
    <xdr:from>
      <xdr:col>11</xdr:col>
      <xdr:colOff>0</xdr:colOff>
      <xdr:row>1</xdr:row>
      <xdr:rowOff>0</xdr:rowOff>
    </xdr:from>
    <xdr:ext cx="2867025" cy="280035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3917250" y="2379825"/>
          <a:ext cx="2857500" cy="2800350"/>
        </a:xfrm>
        <a:prstGeom prst="rect">
          <a:avLst/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1. Select the range B46:F47 above.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2. Click the Chart Wizard button on Excel's 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Standard toolbar and start the Chart 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Wizard. Choose the "XY (Scatter)" chart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 type.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3.  Complete the Chart Wizard steps. Your 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 scatter plot should look something like the 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icrosoft JhengHei"/>
            <a:buNone/>
          </a:pPr>
          <a:r>
            <a:rPr lang="en-US" sz="1000" b="0" i="0" u="none" strike="noStrike" cap="none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     one below.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0"/>
  <sheetViews>
    <sheetView workbookViewId="0">
      <selection activeCell="C4" sqref="C4"/>
    </sheetView>
  </sheetViews>
  <sheetFormatPr defaultColWidth="14.44140625" defaultRowHeight="15" customHeight="1" x14ac:dyDescent="0.4"/>
  <cols>
    <col min="1" max="1" width="28.109375" customWidth="1"/>
    <col min="2" max="2" width="38.27734375" customWidth="1"/>
    <col min="3" max="26" width="8.71875" customWidth="1"/>
  </cols>
  <sheetData>
    <row r="1" spans="1:2" ht="24" customHeight="1" x14ac:dyDescent="0.4">
      <c r="A1" s="94" t="s">
        <v>0</v>
      </c>
      <c r="B1" s="95"/>
    </row>
    <row r="2" spans="1:2" ht="12" customHeight="1" x14ac:dyDescent="0.4"/>
    <row r="3" spans="1:2" ht="12" customHeight="1" x14ac:dyDescent="0.5">
      <c r="A3" s="1" t="s">
        <v>1</v>
      </c>
      <c r="B3" s="2" t="s">
        <v>2</v>
      </c>
    </row>
    <row r="4" spans="1:2" ht="72" customHeight="1" x14ac:dyDescent="0.4">
      <c r="A4" s="96" t="s">
        <v>3</v>
      </c>
      <c r="B4" s="97"/>
    </row>
    <row r="5" spans="1:2" ht="12" customHeight="1" x14ac:dyDescent="0.5">
      <c r="A5" s="3"/>
      <c r="B5" s="3"/>
    </row>
    <row r="6" spans="1:2" ht="51" customHeight="1" x14ac:dyDescent="0.4">
      <c r="A6" s="96" t="s">
        <v>4</v>
      </c>
      <c r="B6" s="97"/>
    </row>
    <row r="7" spans="1:2" ht="45" customHeight="1" x14ac:dyDescent="0.4">
      <c r="A7" s="96" t="s">
        <v>5</v>
      </c>
      <c r="B7" s="97"/>
    </row>
    <row r="8" spans="1:2" ht="12" customHeight="1" x14ac:dyDescent="0.5">
      <c r="A8" s="3"/>
      <c r="B8" s="3"/>
    </row>
    <row r="9" spans="1:2" ht="37.5" customHeight="1" x14ac:dyDescent="0.4">
      <c r="A9" s="96" t="s">
        <v>6</v>
      </c>
      <c r="B9" s="97"/>
    </row>
    <row r="10" spans="1:2" ht="12" customHeight="1" x14ac:dyDescent="0.4"/>
    <row r="11" spans="1:2" ht="12" customHeight="1" x14ac:dyDescent="0.4"/>
    <row r="12" spans="1:2" ht="12" customHeight="1" x14ac:dyDescent="0.4"/>
    <row r="13" spans="1:2" ht="12" customHeight="1" x14ac:dyDescent="0.4"/>
    <row r="14" spans="1:2" ht="12" customHeight="1" x14ac:dyDescent="0.4"/>
    <row r="15" spans="1:2" ht="12" customHeight="1" x14ac:dyDescent="0.4"/>
    <row r="16" spans="1:2" ht="12" customHeight="1" x14ac:dyDescent="0.4"/>
    <row r="17" ht="12" customHeight="1" x14ac:dyDescent="0.4"/>
    <row r="18" ht="12" customHeight="1" x14ac:dyDescent="0.4"/>
    <row r="19" ht="12" customHeight="1" x14ac:dyDescent="0.4"/>
    <row r="20" ht="12" customHeight="1" x14ac:dyDescent="0.4"/>
    <row r="21" ht="12" customHeight="1" x14ac:dyDescent="0.4"/>
    <row r="22" ht="12" customHeight="1" x14ac:dyDescent="0.4"/>
    <row r="23" ht="12" customHeight="1" x14ac:dyDescent="0.4"/>
    <row r="24" ht="12" customHeight="1" x14ac:dyDescent="0.4"/>
    <row r="25" ht="12" customHeight="1" x14ac:dyDescent="0.4"/>
    <row r="26" ht="12" customHeight="1" x14ac:dyDescent="0.4"/>
    <row r="27" ht="12" customHeight="1" x14ac:dyDescent="0.4"/>
    <row r="28" ht="12" customHeight="1" x14ac:dyDescent="0.4"/>
    <row r="29" ht="12" customHeight="1" x14ac:dyDescent="0.4"/>
    <row r="30" ht="12" customHeight="1" x14ac:dyDescent="0.4"/>
    <row r="31" ht="12" customHeight="1" x14ac:dyDescent="0.4"/>
    <row r="32" ht="12" customHeight="1" x14ac:dyDescent="0.4"/>
    <row r="33" ht="12" customHeight="1" x14ac:dyDescent="0.4"/>
    <row r="34" ht="12" customHeight="1" x14ac:dyDescent="0.4"/>
    <row r="35" ht="12" customHeight="1" x14ac:dyDescent="0.4"/>
    <row r="36" ht="12" customHeight="1" x14ac:dyDescent="0.4"/>
    <row r="37" ht="12" customHeight="1" x14ac:dyDescent="0.4"/>
    <row r="38" ht="12" customHeight="1" x14ac:dyDescent="0.4"/>
    <row r="39" ht="12" customHeight="1" x14ac:dyDescent="0.4"/>
    <row r="40" ht="12" customHeight="1" x14ac:dyDescent="0.4"/>
    <row r="41" ht="12" customHeight="1" x14ac:dyDescent="0.4"/>
    <row r="42" ht="12" customHeight="1" x14ac:dyDescent="0.4"/>
    <row r="43" ht="12" customHeight="1" x14ac:dyDescent="0.4"/>
    <row r="44" ht="12" customHeight="1" x14ac:dyDescent="0.4"/>
    <row r="45" ht="12" customHeight="1" x14ac:dyDescent="0.4"/>
    <row r="46" ht="12" customHeight="1" x14ac:dyDescent="0.4"/>
    <row r="47" ht="12" customHeight="1" x14ac:dyDescent="0.4"/>
    <row r="48" ht="12" customHeight="1" x14ac:dyDescent="0.4"/>
    <row r="49" ht="12" customHeight="1" x14ac:dyDescent="0.4"/>
    <row r="50" ht="12" customHeight="1" x14ac:dyDescent="0.4"/>
    <row r="51" ht="12" customHeight="1" x14ac:dyDescent="0.4"/>
    <row r="52" ht="12" customHeight="1" x14ac:dyDescent="0.4"/>
    <row r="53" ht="12" customHeight="1" x14ac:dyDescent="0.4"/>
    <row r="54" ht="12" customHeight="1" x14ac:dyDescent="0.4"/>
    <row r="55" ht="12" customHeight="1" x14ac:dyDescent="0.4"/>
    <row r="56" ht="12" customHeight="1" x14ac:dyDescent="0.4"/>
    <row r="57" ht="12" customHeight="1" x14ac:dyDescent="0.4"/>
    <row r="58" ht="12" customHeight="1" x14ac:dyDescent="0.4"/>
    <row r="59" ht="12" customHeight="1" x14ac:dyDescent="0.4"/>
    <row r="60" ht="12" customHeight="1" x14ac:dyDescent="0.4"/>
    <row r="61" ht="12" customHeight="1" x14ac:dyDescent="0.4"/>
    <row r="62" ht="12" customHeight="1" x14ac:dyDescent="0.4"/>
    <row r="63" ht="12" customHeight="1" x14ac:dyDescent="0.4"/>
    <row r="64" ht="12" customHeight="1" x14ac:dyDescent="0.4"/>
    <row r="65" ht="12" customHeight="1" x14ac:dyDescent="0.4"/>
    <row r="66" ht="12" customHeight="1" x14ac:dyDescent="0.4"/>
    <row r="67" ht="12" customHeight="1" x14ac:dyDescent="0.4"/>
    <row r="68" ht="12" customHeight="1" x14ac:dyDescent="0.4"/>
    <row r="69" ht="12" customHeight="1" x14ac:dyDescent="0.4"/>
    <row r="70" ht="12" customHeight="1" x14ac:dyDescent="0.4"/>
    <row r="71" ht="12" customHeight="1" x14ac:dyDescent="0.4"/>
    <row r="72" ht="12" customHeight="1" x14ac:dyDescent="0.4"/>
    <row r="73" ht="12" customHeight="1" x14ac:dyDescent="0.4"/>
    <row r="74" ht="12" customHeight="1" x14ac:dyDescent="0.4"/>
    <row r="75" ht="12" customHeight="1" x14ac:dyDescent="0.4"/>
    <row r="76" ht="12" customHeight="1" x14ac:dyDescent="0.4"/>
    <row r="77" ht="12" customHeight="1" x14ac:dyDescent="0.4"/>
    <row r="78" ht="12" customHeight="1" x14ac:dyDescent="0.4"/>
    <row r="79" ht="12" customHeight="1" x14ac:dyDescent="0.4"/>
    <row r="80" ht="12" customHeight="1" x14ac:dyDescent="0.4"/>
    <row r="81" ht="12" customHeight="1" x14ac:dyDescent="0.4"/>
    <row r="82" ht="12" customHeight="1" x14ac:dyDescent="0.4"/>
    <row r="83" ht="12" customHeight="1" x14ac:dyDescent="0.4"/>
    <row r="84" ht="12" customHeight="1" x14ac:dyDescent="0.4"/>
    <row r="85" ht="12" customHeight="1" x14ac:dyDescent="0.4"/>
    <row r="86" ht="12" customHeight="1" x14ac:dyDescent="0.4"/>
    <row r="87" ht="12" customHeight="1" x14ac:dyDescent="0.4"/>
    <row r="88" ht="12" customHeight="1" x14ac:dyDescent="0.4"/>
    <row r="89" ht="12" customHeight="1" x14ac:dyDescent="0.4"/>
    <row r="90" ht="12" customHeight="1" x14ac:dyDescent="0.4"/>
    <row r="91" ht="12" customHeight="1" x14ac:dyDescent="0.4"/>
    <row r="92" ht="12" customHeight="1" x14ac:dyDescent="0.4"/>
    <row r="93" ht="12" customHeight="1" x14ac:dyDescent="0.4"/>
    <row r="94" ht="12" customHeight="1" x14ac:dyDescent="0.4"/>
    <row r="95" ht="12" customHeight="1" x14ac:dyDescent="0.4"/>
    <row r="96" ht="12" customHeight="1" x14ac:dyDescent="0.4"/>
    <row r="97" ht="12" customHeight="1" x14ac:dyDescent="0.4"/>
    <row r="98" ht="12" customHeight="1" x14ac:dyDescent="0.4"/>
    <row r="99" ht="12" customHeight="1" x14ac:dyDescent="0.4"/>
    <row r="100" ht="12" customHeight="1" x14ac:dyDescent="0.4"/>
    <row r="101" ht="12" customHeight="1" x14ac:dyDescent="0.4"/>
    <row r="102" ht="12" customHeight="1" x14ac:dyDescent="0.4"/>
    <row r="103" ht="12" customHeight="1" x14ac:dyDescent="0.4"/>
    <row r="104" ht="12" customHeight="1" x14ac:dyDescent="0.4"/>
    <row r="105" ht="12" customHeight="1" x14ac:dyDescent="0.4"/>
    <row r="106" ht="12" customHeight="1" x14ac:dyDescent="0.4"/>
    <row r="107" ht="12" customHeight="1" x14ac:dyDescent="0.4"/>
    <row r="108" ht="12" customHeight="1" x14ac:dyDescent="0.4"/>
    <row r="109" ht="12" customHeight="1" x14ac:dyDescent="0.4"/>
    <row r="110" ht="12" customHeight="1" x14ac:dyDescent="0.4"/>
    <row r="111" ht="12" customHeight="1" x14ac:dyDescent="0.4"/>
    <row r="112" ht="12" customHeight="1" x14ac:dyDescent="0.4"/>
    <row r="113" ht="12" customHeight="1" x14ac:dyDescent="0.4"/>
    <row r="114" ht="12" customHeight="1" x14ac:dyDescent="0.4"/>
    <row r="115" ht="12" customHeight="1" x14ac:dyDescent="0.4"/>
    <row r="116" ht="12" customHeight="1" x14ac:dyDescent="0.4"/>
    <row r="117" ht="12" customHeight="1" x14ac:dyDescent="0.4"/>
    <row r="118" ht="12" customHeight="1" x14ac:dyDescent="0.4"/>
    <row r="119" ht="12" customHeight="1" x14ac:dyDescent="0.4"/>
    <row r="120" ht="12" customHeight="1" x14ac:dyDescent="0.4"/>
    <row r="121" ht="12" customHeight="1" x14ac:dyDescent="0.4"/>
    <row r="122" ht="12" customHeight="1" x14ac:dyDescent="0.4"/>
    <row r="123" ht="12" customHeight="1" x14ac:dyDescent="0.4"/>
    <row r="124" ht="12" customHeight="1" x14ac:dyDescent="0.4"/>
    <row r="125" ht="12" customHeight="1" x14ac:dyDescent="0.4"/>
    <row r="126" ht="12" customHeight="1" x14ac:dyDescent="0.4"/>
    <row r="127" ht="12" customHeight="1" x14ac:dyDescent="0.4"/>
    <row r="128" ht="12" customHeight="1" x14ac:dyDescent="0.4"/>
    <row r="129" ht="12" customHeight="1" x14ac:dyDescent="0.4"/>
    <row r="130" ht="12" customHeight="1" x14ac:dyDescent="0.4"/>
    <row r="131" ht="12" customHeight="1" x14ac:dyDescent="0.4"/>
    <row r="132" ht="12" customHeight="1" x14ac:dyDescent="0.4"/>
    <row r="133" ht="12" customHeight="1" x14ac:dyDescent="0.4"/>
    <row r="134" ht="12" customHeight="1" x14ac:dyDescent="0.4"/>
    <row r="135" ht="12" customHeight="1" x14ac:dyDescent="0.4"/>
    <row r="136" ht="12" customHeight="1" x14ac:dyDescent="0.4"/>
    <row r="137" ht="12" customHeight="1" x14ac:dyDescent="0.4"/>
    <row r="138" ht="12" customHeight="1" x14ac:dyDescent="0.4"/>
    <row r="139" ht="12" customHeight="1" x14ac:dyDescent="0.4"/>
    <row r="140" ht="12" customHeight="1" x14ac:dyDescent="0.4"/>
    <row r="141" ht="12" customHeight="1" x14ac:dyDescent="0.4"/>
    <row r="142" ht="12" customHeight="1" x14ac:dyDescent="0.4"/>
    <row r="143" ht="12" customHeight="1" x14ac:dyDescent="0.4"/>
    <row r="144" ht="12" customHeight="1" x14ac:dyDescent="0.4"/>
    <row r="145" ht="12" customHeight="1" x14ac:dyDescent="0.4"/>
    <row r="146" ht="12" customHeight="1" x14ac:dyDescent="0.4"/>
    <row r="147" ht="12" customHeight="1" x14ac:dyDescent="0.4"/>
    <row r="148" ht="12" customHeight="1" x14ac:dyDescent="0.4"/>
    <row r="149" ht="12" customHeight="1" x14ac:dyDescent="0.4"/>
    <row r="150" ht="12" customHeight="1" x14ac:dyDescent="0.4"/>
    <row r="151" ht="12" customHeight="1" x14ac:dyDescent="0.4"/>
    <row r="152" ht="12" customHeight="1" x14ac:dyDescent="0.4"/>
    <row r="153" ht="12" customHeight="1" x14ac:dyDescent="0.4"/>
    <row r="154" ht="12" customHeight="1" x14ac:dyDescent="0.4"/>
    <row r="155" ht="12" customHeight="1" x14ac:dyDescent="0.4"/>
    <row r="156" ht="12" customHeight="1" x14ac:dyDescent="0.4"/>
    <row r="157" ht="12" customHeight="1" x14ac:dyDescent="0.4"/>
    <row r="158" ht="12" customHeight="1" x14ac:dyDescent="0.4"/>
    <row r="159" ht="12" customHeight="1" x14ac:dyDescent="0.4"/>
    <row r="160" ht="12" customHeight="1" x14ac:dyDescent="0.4"/>
    <row r="161" ht="12" customHeight="1" x14ac:dyDescent="0.4"/>
    <row r="162" ht="12" customHeight="1" x14ac:dyDescent="0.4"/>
    <row r="163" ht="12" customHeight="1" x14ac:dyDescent="0.4"/>
    <row r="164" ht="12" customHeight="1" x14ac:dyDescent="0.4"/>
    <row r="165" ht="12" customHeight="1" x14ac:dyDescent="0.4"/>
    <row r="166" ht="12" customHeight="1" x14ac:dyDescent="0.4"/>
    <row r="167" ht="12" customHeight="1" x14ac:dyDescent="0.4"/>
    <row r="168" ht="12" customHeight="1" x14ac:dyDescent="0.4"/>
    <row r="169" ht="12" customHeight="1" x14ac:dyDescent="0.4"/>
    <row r="170" ht="12" customHeight="1" x14ac:dyDescent="0.4"/>
    <row r="171" ht="12" customHeight="1" x14ac:dyDescent="0.4"/>
    <row r="172" ht="12" customHeight="1" x14ac:dyDescent="0.4"/>
    <row r="173" ht="12" customHeight="1" x14ac:dyDescent="0.4"/>
    <row r="174" ht="12" customHeight="1" x14ac:dyDescent="0.4"/>
    <row r="175" ht="12" customHeight="1" x14ac:dyDescent="0.4"/>
    <row r="176" ht="12" customHeight="1" x14ac:dyDescent="0.4"/>
    <row r="177" ht="12" customHeight="1" x14ac:dyDescent="0.4"/>
    <row r="178" ht="12" customHeight="1" x14ac:dyDescent="0.4"/>
    <row r="179" ht="12" customHeight="1" x14ac:dyDescent="0.4"/>
    <row r="180" ht="12" customHeight="1" x14ac:dyDescent="0.4"/>
    <row r="181" ht="12" customHeight="1" x14ac:dyDescent="0.4"/>
    <row r="182" ht="12" customHeight="1" x14ac:dyDescent="0.4"/>
    <row r="183" ht="12" customHeight="1" x14ac:dyDescent="0.4"/>
    <row r="184" ht="12" customHeight="1" x14ac:dyDescent="0.4"/>
    <row r="185" ht="12" customHeight="1" x14ac:dyDescent="0.4"/>
    <row r="186" ht="12" customHeight="1" x14ac:dyDescent="0.4"/>
    <row r="187" ht="12" customHeight="1" x14ac:dyDescent="0.4"/>
    <row r="188" ht="12" customHeight="1" x14ac:dyDescent="0.4"/>
    <row r="189" ht="12" customHeight="1" x14ac:dyDescent="0.4"/>
    <row r="190" ht="12" customHeight="1" x14ac:dyDescent="0.4"/>
    <row r="191" ht="12" customHeight="1" x14ac:dyDescent="0.4"/>
    <row r="192" ht="12" customHeight="1" x14ac:dyDescent="0.4"/>
    <row r="193" ht="12" customHeight="1" x14ac:dyDescent="0.4"/>
    <row r="194" ht="12" customHeight="1" x14ac:dyDescent="0.4"/>
    <row r="195" ht="12" customHeight="1" x14ac:dyDescent="0.4"/>
    <row r="196" ht="12" customHeight="1" x14ac:dyDescent="0.4"/>
    <row r="197" ht="12" customHeight="1" x14ac:dyDescent="0.4"/>
    <row r="198" ht="12" customHeight="1" x14ac:dyDescent="0.4"/>
    <row r="199" ht="12" customHeight="1" x14ac:dyDescent="0.4"/>
    <row r="200" ht="12" customHeight="1" x14ac:dyDescent="0.4"/>
    <row r="201" ht="12" customHeight="1" x14ac:dyDescent="0.4"/>
    <row r="202" ht="12" customHeight="1" x14ac:dyDescent="0.4"/>
    <row r="203" ht="12" customHeight="1" x14ac:dyDescent="0.4"/>
    <row r="204" ht="12" customHeight="1" x14ac:dyDescent="0.4"/>
    <row r="205" ht="12" customHeight="1" x14ac:dyDescent="0.4"/>
    <row r="206" ht="12" customHeight="1" x14ac:dyDescent="0.4"/>
    <row r="207" ht="12" customHeight="1" x14ac:dyDescent="0.4"/>
    <row r="208" ht="12" customHeight="1" x14ac:dyDescent="0.4"/>
    <row r="209" ht="12" customHeight="1" x14ac:dyDescent="0.4"/>
    <row r="210" ht="12" customHeight="1" x14ac:dyDescent="0.4"/>
    <row r="211" ht="12" customHeight="1" x14ac:dyDescent="0.4"/>
    <row r="212" ht="12" customHeight="1" x14ac:dyDescent="0.4"/>
    <row r="213" ht="12" customHeight="1" x14ac:dyDescent="0.4"/>
    <row r="214" ht="12" customHeight="1" x14ac:dyDescent="0.4"/>
    <row r="215" ht="12" customHeight="1" x14ac:dyDescent="0.4"/>
    <row r="216" ht="12" customHeight="1" x14ac:dyDescent="0.4"/>
    <row r="217" ht="12" customHeight="1" x14ac:dyDescent="0.4"/>
    <row r="218" ht="12" customHeight="1" x14ac:dyDescent="0.4"/>
    <row r="219" ht="12" customHeight="1" x14ac:dyDescent="0.4"/>
    <row r="220" ht="12" customHeight="1" x14ac:dyDescent="0.4"/>
    <row r="221" ht="12" customHeight="1" x14ac:dyDescent="0.4"/>
    <row r="222" ht="12" customHeight="1" x14ac:dyDescent="0.4"/>
    <row r="223" ht="12" customHeight="1" x14ac:dyDescent="0.4"/>
    <row r="224" ht="12" customHeight="1" x14ac:dyDescent="0.4"/>
    <row r="225" ht="12" customHeight="1" x14ac:dyDescent="0.4"/>
    <row r="226" ht="12" customHeight="1" x14ac:dyDescent="0.4"/>
    <row r="227" ht="12" customHeight="1" x14ac:dyDescent="0.4"/>
    <row r="228" ht="12" customHeight="1" x14ac:dyDescent="0.4"/>
    <row r="229" ht="12" customHeight="1" x14ac:dyDescent="0.4"/>
    <row r="230" ht="12" customHeight="1" x14ac:dyDescent="0.4"/>
    <row r="231" ht="12" customHeight="1" x14ac:dyDescent="0.4"/>
    <row r="232" ht="12" customHeight="1" x14ac:dyDescent="0.4"/>
    <row r="233" ht="12" customHeight="1" x14ac:dyDescent="0.4"/>
    <row r="234" ht="12" customHeight="1" x14ac:dyDescent="0.4"/>
    <row r="235" ht="12" customHeight="1" x14ac:dyDescent="0.4"/>
    <row r="236" ht="12" customHeight="1" x14ac:dyDescent="0.4"/>
    <row r="237" ht="12" customHeight="1" x14ac:dyDescent="0.4"/>
    <row r="238" ht="12" customHeight="1" x14ac:dyDescent="0.4"/>
    <row r="239" ht="12" customHeight="1" x14ac:dyDescent="0.4"/>
    <row r="240" ht="12" customHeight="1" x14ac:dyDescent="0.4"/>
    <row r="241" ht="12" customHeight="1" x14ac:dyDescent="0.4"/>
    <row r="242" ht="12" customHeight="1" x14ac:dyDescent="0.4"/>
    <row r="243" ht="12" customHeight="1" x14ac:dyDescent="0.4"/>
    <row r="244" ht="12" customHeight="1" x14ac:dyDescent="0.4"/>
    <row r="245" ht="12" customHeight="1" x14ac:dyDescent="0.4"/>
    <row r="246" ht="12" customHeight="1" x14ac:dyDescent="0.4"/>
    <row r="247" ht="12" customHeight="1" x14ac:dyDescent="0.4"/>
    <row r="248" ht="12" customHeight="1" x14ac:dyDescent="0.4"/>
    <row r="249" ht="12" customHeight="1" x14ac:dyDescent="0.4"/>
    <row r="250" ht="12" customHeight="1" x14ac:dyDescent="0.4"/>
    <row r="251" ht="12" customHeight="1" x14ac:dyDescent="0.4"/>
    <row r="252" ht="12" customHeight="1" x14ac:dyDescent="0.4"/>
    <row r="253" ht="12" customHeight="1" x14ac:dyDescent="0.4"/>
    <row r="254" ht="12" customHeight="1" x14ac:dyDescent="0.4"/>
    <row r="255" ht="12" customHeight="1" x14ac:dyDescent="0.4"/>
    <row r="256" ht="12" customHeight="1" x14ac:dyDescent="0.4"/>
    <row r="257" ht="12" customHeight="1" x14ac:dyDescent="0.4"/>
    <row r="258" ht="12" customHeight="1" x14ac:dyDescent="0.4"/>
    <row r="259" ht="12" customHeight="1" x14ac:dyDescent="0.4"/>
    <row r="260" ht="12" customHeight="1" x14ac:dyDescent="0.4"/>
    <row r="261" ht="12" customHeight="1" x14ac:dyDescent="0.4"/>
    <row r="262" ht="12" customHeight="1" x14ac:dyDescent="0.4"/>
    <row r="263" ht="12" customHeight="1" x14ac:dyDescent="0.4"/>
    <row r="264" ht="12" customHeight="1" x14ac:dyDescent="0.4"/>
    <row r="265" ht="12" customHeight="1" x14ac:dyDescent="0.4"/>
    <row r="266" ht="12" customHeight="1" x14ac:dyDescent="0.4"/>
    <row r="267" ht="12" customHeight="1" x14ac:dyDescent="0.4"/>
    <row r="268" ht="12" customHeight="1" x14ac:dyDescent="0.4"/>
    <row r="269" ht="12" customHeight="1" x14ac:dyDescent="0.4"/>
    <row r="270" ht="12" customHeight="1" x14ac:dyDescent="0.4"/>
    <row r="271" ht="12" customHeight="1" x14ac:dyDescent="0.4"/>
    <row r="272" ht="12" customHeight="1" x14ac:dyDescent="0.4"/>
    <row r="273" ht="12" customHeight="1" x14ac:dyDescent="0.4"/>
    <row r="274" ht="12" customHeight="1" x14ac:dyDescent="0.4"/>
    <row r="275" ht="12" customHeight="1" x14ac:dyDescent="0.4"/>
    <row r="276" ht="12" customHeight="1" x14ac:dyDescent="0.4"/>
    <row r="277" ht="12" customHeight="1" x14ac:dyDescent="0.4"/>
    <row r="278" ht="12" customHeight="1" x14ac:dyDescent="0.4"/>
    <row r="279" ht="12" customHeight="1" x14ac:dyDescent="0.4"/>
    <row r="280" ht="12" customHeight="1" x14ac:dyDescent="0.4"/>
    <row r="281" ht="12" customHeight="1" x14ac:dyDescent="0.4"/>
    <row r="282" ht="12" customHeight="1" x14ac:dyDescent="0.4"/>
    <row r="283" ht="12" customHeight="1" x14ac:dyDescent="0.4"/>
    <row r="284" ht="12" customHeight="1" x14ac:dyDescent="0.4"/>
    <row r="285" ht="12" customHeight="1" x14ac:dyDescent="0.4"/>
    <row r="286" ht="12" customHeight="1" x14ac:dyDescent="0.4"/>
    <row r="287" ht="12" customHeight="1" x14ac:dyDescent="0.4"/>
    <row r="288" ht="12" customHeight="1" x14ac:dyDescent="0.4"/>
    <row r="289" ht="12" customHeight="1" x14ac:dyDescent="0.4"/>
    <row r="290" ht="12" customHeight="1" x14ac:dyDescent="0.4"/>
    <row r="291" ht="12" customHeight="1" x14ac:dyDescent="0.4"/>
    <row r="292" ht="12" customHeight="1" x14ac:dyDescent="0.4"/>
    <row r="293" ht="12" customHeight="1" x14ac:dyDescent="0.4"/>
    <row r="294" ht="12" customHeight="1" x14ac:dyDescent="0.4"/>
    <row r="295" ht="12" customHeight="1" x14ac:dyDescent="0.4"/>
    <row r="296" ht="12" customHeight="1" x14ac:dyDescent="0.4"/>
    <row r="297" ht="12" customHeight="1" x14ac:dyDescent="0.4"/>
    <row r="298" ht="12" customHeight="1" x14ac:dyDescent="0.4"/>
    <row r="299" ht="12" customHeight="1" x14ac:dyDescent="0.4"/>
    <row r="300" ht="12" customHeight="1" x14ac:dyDescent="0.4"/>
    <row r="301" ht="12" customHeight="1" x14ac:dyDescent="0.4"/>
    <row r="302" ht="12" customHeight="1" x14ac:dyDescent="0.4"/>
    <row r="303" ht="12" customHeight="1" x14ac:dyDescent="0.4"/>
    <row r="304" ht="12" customHeight="1" x14ac:dyDescent="0.4"/>
    <row r="305" ht="12" customHeight="1" x14ac:dyDescent="0.4"/>
    <row r="306" ht="12" customHeight="1" x14ac:dyDescent="0.4"/>
    <row r="307" ht="12" customHeight="1" x14ac:dyDescent="0.4"/>
    <row r="308" ht="12" customHeight="1" x14ac:dyDescent="0.4"/>
    <row r="309" ht="12" customHeight="1" x14ac:dyDescent="0.4"/>
    <row r="310" ht="12" customHeight="1" x14ac:dyDescent="0.4"/>
    <row r="311" ht="12" customHeight="1" x14ac:dyDescent="0.4"/>
    <row r="312" ht="12" customHeight="1" x14ac:dyDescent="0.4"/>
    <row r="313" ht="12" customHeight="1" x14ac:dyDescent="0.4"/>
    <row r="314" ht="12" customHeight="1" x14ac:dyDescent="0.4"/>
    <row r="315" ht="12" customHeight="1" x14ac:dyDescent="0.4"/>
    <row r="316" ht="12" customHeight="1" x14ac:dyDescent="0.4"/>
    <row r="317" ht="12" customHeight="1" x14ac:dyDescent="0.4"/>
    <row r="318" ht="12" customHeight="1" x14ac:dyDescent="0.4"/>
    <row r="319" ht="12" customHeight="1" x14ac:dyDescent="0.4"/>
    <row r="320" ht="12" customHeight="1" x14ac:dyDescent="0.4"/>
    <row r="321" ht="12" customHeight="1" x14ac:dyDescent="0.4"/>
    <row r="322" ht="12" customHeight="1" x14ac:dyDescent="0.4"/>
    <row r="323" ht="12" customHeight="1" x14ac:dyDescent="0.4"/>
    <row r="324" ht="12" customHeight="1" x14ac:dyDescent="0.4"/>
    <row r="325" ht="12" customHeight="1" x14ac:dyDescent="0.4"/>
    <row r="326" ht="12" customHeight="1" x14ac:dyDescent="0.4"/>
    <row r="327" ht="12" customHeight="1" x14ac:dyDescent="0.4"/>
    <row r="328" ht="12" customHeight="1" x14ac:dyDescent="0.4"/>
    <row r="329" ht="12" customHeight="1" x14ac:dyDescent="0.4"/>
    <row r="330" ht="12" customHeight="1" x14ac:dyDescent="0.4"/>
    <row r="331" ht="12" customHeight="1" x14ac:dyDescent="0.4"/>
    <row r="332" ht="12" customHeight="1" x14ac:dyDescent="0.4"/>
    <row r="333" ht="12" customHeight="1" x14ac:dyDescent="0.4"/>
    <row r="334" ht="12" customHeight="1" x14ac:dyDescent="0.4"/>
    <row r="335" ht="12" customHeight="1" x14ac:dyDescent="0.4"/>
    <row r="336" ht="12" customHeight="1" x14ac:dyDescent="0.4"/>
    <row r="337" ht="12" customHeight="1" x14ac:dyDescent="0.4"/>
    <row r="338" ht="12" customHeight="1" x14ac:dyDescent="0.4"/>
    <row r="339" ht="12" customHeight="1" x14ac:dyDescent="0.4"/>
    <row r="340" ht="12" customHeight="1" x14ac:dyDescent="0.4"/>
    <row r="341" ht="12" customHeight="1" x14ac:dyDescent="0.4"/>
    <row r="342" ht="12" customHeight="1" x14ac:dyDescent="0.4"/>
    <row r="343" ht="12" customHeight="1" x14ac:dyDescent="0.4"/>
    <row r="344" ht="12" customHeight="1" x14ac:dyDescent="0.4"/>
    <row r="345" ht="12" customHeight="1" x14ac:dyDescent="0.4"/>
    <row r="346" ht="12" customHeight="1" x14ac:dyDescent="0.4"/>
    <row r="347" ht="12" customHeight="1" x14ac:dyDescent="0.4"/>
    <row r="348" ht="12" customHeight="1" x14ac:dyDescent="0.4"/>
    <row r="349" ht="12" customHeight="1" x14ac:dyDescent="0.4"/>
    <row r="350" ht="12" customHeight="1" x14ac:dyDescent="0.4"/>
    <row r="351" ht="12" customHeight="1" x14ac:dyDescent="0.4"/>
    <row r="352" ht="12" customHeight="1" x14ac:dyDescent="0.4"/>
    <row r="353" ht="12" customHeight="1" x14ac:dyDescent="0.4"/>
    <row r="354" ht="12" customHeight="1" x14ac:dyDescent="0.4"/>
    <row r="355" ht="12" customHeight="1" x14ac:dyDescent="0.4"/>
    <row r="356" ht="12" customHeight="1" x14ac:dyDescent="0.4"/>
    <row r="357" ht="12" customHeight="1" x14ac:dyDescent="0.4"/>
    <row r="358" ht="12" customHeight="1" x14ac:dyDescent="0.4"/>
    <row r="359" ht="12" customHeight="1" x14ac:dyDescent="0.4"/>
    <row r="360" ht="12" customHeight="1" x14ac:dyDescent="0.4"/>
    <row r="361" ht="12" customHeight="1" x14ac:dyDescent="0.4"/>
    <row r="362" ht="12" customHeight="1" x14ac:dyDescent="0.4"/>
    <row r="363" ht="12" customHeight="1" x14ac:dyDescent="0.4"/>
    <row r="364" ht="12" customHeight="1" x14ac:dyDescent="0.4"/>
    <row r="365" ht="12" customHeight="1" x14ac:dyDescent="0.4"/>
    <row r="366" ht="12" customHeight="1" x14ac:dyDescent="0.4"/>
    <row r="367" ht="12" customHeight="1" x14ac:dyDescent="0.4"/>
    <row r="368" ht="12" customHeight="1" x14ac:dyDescent="0.4"/>
    <row r="369" ht="12" customHeight="1" x14ac:dyDescent="0.4"/>
    <row r="370" ht="12" customHeight="1" x14ac:dyDescent="0.4"/>
    <row r="371" ht="12" customHeight="1" x14ac:dyDescent="0.4"/>
    <row r="372" ht="12" customHeight="1" x14ac:dyDescent="0.4"/>
    <row r="373" ht="12" customHeight="1" x14ac:dyDescent="0.4"/>
    <row r="374" ht="12" customHeight="1" x14ac:dyDescent="0.4"/>
    <row r="375" ht="12" customHeight="1" x14ac:dyDescent="0.4"/>
    <row r="376" ht="12" customHeight="1" x14ac:dyDescent="0.4"/>
    <row r="377" ht="12" customHeight="1" x14ac:dyDescent="0.4"/>
    <row r="378" ht="12" customHeight="1" x14ac:dyDescent="0.4"/>
    <row r="379" ht="12" customHeight="1" x14ac:dyDescent="0.4"/>
    <row r="380" ht="12" customHeight="1" x14ac:dyDescent="0.4"/>
    <row r="381" ht="12" customHeight="1" x14ac:dyDescent="0.4"/>
    <row r="382" ht="12" customHeight="1" x14ac:dyDescent="0.4"/>
    <row r="383" ht="12" customHeight="1" x14ac:dyDescent="0.4"/>
    <row r="384" ht="12" customHeight="1" x14ac:dyDescent="0.4"/>
    <row r="385" ht="12" customHeight="1" x14ac:dyDescent="0.4"/>
    <row r="386" ht="12" customHeight="1" x14ac:dyDescent="0.4"/>
    <row r="387" ht="12" customHeight="1" x14ac:dyDescent="0.4"/>
    <row r="388" ht="12" customHeight="1" x14ac:dyDescent="0.4"/>
    <row r="389" ht="12" customHeight="1" x14ac:dyDescent="0.4"/>
    <row r="390" ht="12" customHeight="1" x14ac:dyDescent="0.4"/>
    <row r="391" ht="12" customHeight="1" x14ac:dyDescent="0.4"/>
    <row r="392" ht="12" customHeight="1" x14ac:dyDescent="0.4"/>
    <row r="393" ht="12" customHeight="1" x14ac:dyDescent="0.4"/>
    <row r="394" ht="12" customHeight="1" x14ac:dyDescent="0.4"/>
    <row r="395" ht="12" customHeight="1" x14ac:dyDescent="0.4"/>
    <row r="396" ht="12" customHeight="1" x14ac:dyDescent="0.4"/>
    <row r="397" ht="12" customHeight="1" x14ac:dyDescent="0.4"/>
    <row r="398" ht="12" customHeight="1" x14ac:dyDescent="0.4"/>
    <row r="399" ht="12" customHeight="1" x14ac:dyDescent="0.4"/>
    <row r="400" ht="12" customHeight="1" x14ac:dyDescent="0.4"/>
    <row r="401" ht="12" customHeight="1" x14ac:dyDescent="0.4"/>
    <row r="402" ht="12" customHeight="1" x14ac:dyDescent="0.4"/>
    <row r="403" ht="12" customHeight="1" x14ac:dyDescent="0.4"/>
    <row r="404" ht="12" customHeight="1" x14ac:dyDescent="0.4"/>
    <row r="405" ht="12" customHeight="1" x14ac:dyDescent="0.4"/>
    <row r="406" ht="12" customHeight="1" x14ac:dyDescent="0.4"/>
    <row r="407" ht="12" customHeight="1" x14ac:dyDescent="0.4"/>
    <row r="408" ht="12" customHeight="1" x14ac:dyDescent="0.4"/>
    <row r="409" ht="12" customHeight="1" x14ac:dyDescent="0.4"/>
    <row r="410" ht="12" customHeight="1" x14ac:dyDescent="0.4"/>
    <row r="411" ht="12" customHeight="1" x14ac:dyDescent="0.4"/>
    <row r="412" ht="12" customHeight="1" x14ac:dyDescent="0.4"/>
    <row r="413" ht="12" customHeight="1" x14ac:dyDescent="0.4"/>
    <row r="414" ht="12" customHeight="1" x14ac:dyDescent="0.4"/>
    <row r="415" ht="12" customHeight="1" x14ac:dyDescent="0.4"/>
    <row r="416" ht="12" customHeight="1" x14ac:dyDescent="0.4"/>
    <row r="417" ht="12" customHeight="1" x14ac:dyDescent="0.4"/>
    <row r="418" ht="12" customHeight="1" x14ac:dyDescent="0.4"/>
    <row r="419" ht="12" customHeight="1" x14ac:dyDescent="0.4"/>
    <row r="420" ht="12" customHeight="1" x14ac:dyDescent="0.4"/>
    <row r="421" ht="12" customHeight="1" x14ac:dyDescent="0.4"/>
    <row r="422" ht="12" customHeight="1" x14ac:dyDescent="0.4"/>
    <row r="423" ht="12" customHeight="1" x14ac:dyDescent="0.4"/>
    <row r="424" ht="12" customHeight="1" x14ac:dyDescent="0.4"/>
    <row r="425" ht="12" customHeight="1" x14ac:dyDescent="0.4"/>
    <row r="426" ht="12" customHeight="1" x14ac:dyDescent="0.4"/>
    <row r="427" ht="12" customHeight="1" x14ac:dyDescent="0.4"/>
    <row r="428" ht="12" customHeight="1" x14ac:dyDescent="0.4"/>
    <row r="429" ht="12" customHeight="1" x14ac:dyDescent="0.4"/>
    <row r="430" ht="12" customHeight="1" x14ac:dyDescent="0.4"/>
    <row r="431" ht="12" customHeight="1" x14ac:dyDescent="0.4"/>
    <row r="432" ht="12" customHeight="1" x14ac:dyDescent="0.4"/>
    <row r="433" ht="12" customHeight="1" x14ac:dyDescent="0.4"/>
    <row r="434" ht="12" customHeight="1" x14ac:dyDescent="0.4"/>
    <row r="435" ht="12" customHeight="1" x14ac:dyDescent="0.4"/>
    <row r="436" ht="12" customHeight="1" x14ac:dyDescent="0.4"/>
    <row r="437" ht="12" customHeight="1" x14ac:dyDescent="0.4"/>
    <row r="438" ht="12" customHeight="1" x14ac:dyDescent="0.4"/>
    <row r="439" ht="12" customHeight="1" x14ac:dyDescent="0.4"/>
    <row r="440" ht="12" customHeight="1" x14ac:dyDescent="0.4"/>
    <row r="441" ht="12" customHeight="1" x14ac:dyDescent="0.4"/>
    <row r="442" ht="12" customHeight="1" x14ac:dyDescent="0.4"/>
    <row r="443" ht="12" customHeight="1" x14ac:dyDescent="0.4"/>
    <row r="444" ht="12" customHeight="1" x14ac:dyDescent="0.4"/>
    <row r="445" ht="12" customHeight="1" x14ac:dyDescent="0.4"/>
    <row r="446" ht="12" customHeight="1" x14ac:dyDescent="0.4"/>
    <row r="447" ht="12" customHeight="1" x14ac:dyDescent="0.4"/>
    <row r="448" ht="12" customHeight="1" x14ac:dyDescent="0.4"/>
    <row r="449" ht="12" customHeight="1" x14ac:dyDescent="0.4"/>
    <row r="450" ht="12" customHeight="1" x14ac:dyDescent="0.4"/>
    <row r="451" ht="12" customHeight="1" x14ac:dyDescent="0.4"/>
    <row r="452" ht="12" customHeight="1" x14ac:dyDescent="0.4"/>
    <row r="453" ht="12" customHeight="1" x14ac:dyDescent="0.4"/>
    <row r="454" ht="12" customHeight="1" x14ac:dyDescent="0.4"/>
    <row r="455" ht="12" customHeight="1" x14ac:dyDescent="0.4"/>
    <row r="456" ht="12" customHeight="1" x14ac:dyDescent="0.4"/>
    <row r="457" ht="12" customHeight="1" x14ac:dyDescent="0.4"/>
    <row r="458" ht="12" customHeight="1" x14ac:dyDescent="0.4"/>
    <row r="459" ht="12" customHeight="1" x14ac:dyDescent="0.4"/>
    <row r="460" ht="12" customHeight="1" x14ac:dyDescent="0.4"/>
    <row r="461" ht="12" customHeight="1" x14ac:dyDescent="0.4"/>
    <row r="462" ht="12" customHeight="1" x14ac:dyDescent="0.4"/>
    <row r="463" ht="12" customHeight="1" x14ac:dyDescent="0.4"/>
    <row r="464" ht="12" customHeight="1" x14ac:dyDescent="0.4"/>
    <row r="465" ht="12" customHeight="1" x14ac:dyDescent="0.4"/>
    <row r="466" ht="12" customHeight="1" x14ac:dyDescent="0.4"/>
    <row r="467" ht="12" customHeight="1" x14ac:dyDescent="0.4"/>
    <row r="468" ht="12" customHeight="1" x14ac:dyDescent="0.4"/>
    <row r="469" ht="12" customHeight="1" x14ac:dyDescent="0.4"/>
    <row r="470" ht="12" customHeight="1" x14ac:dyDescent="0.4"/>
    <row r="471" ht="12" customHeight="1" x14ac:dyDescent="0.4"/>
    <row r="472" ht="12" customHeight="1" x14ac:dyDescent="0.4"/>
    <row r="473" ht="12" customHeight="1" x14ac:dyDescent="0.4"/>
    <row r="474" ht="12" customHeight="1" x14ac:dyDescent="0.4"/>
    <row r="475" ht="12" customHeight="1" x14ac:dyDescent="0.4"/>
    <row r="476" ht="12" customHeight="1" x14ac:dyDescent="0.4"/>
    <row r="477" ht="12" customHeight="1" x14ac:dyDescent="0.4"/>
    <row r="478" ht="12" customHeight="1" x14ac:dyDescent="0.4"/>
    <row r="479" ht="12" customHeight="1" x14ac:dyDescent="0.4"/>
    <row r="480" ht="12" customHeight="1" x14ac:dyDescent="0.4"/>
    <row r="481" ht="12" customHeight="1" x14ac:dyDescent="0.4"/>
    <row r="482" ht="12" customHeight="1" x14ac:dyDescent="0.4"/>
    <row r="483" ht="12" customHeight="1" x14ac:dyDescent="0.4"/>
    <row r="484" ht="12" customHeight="1" x14ac:dyDescent="0.4"/>
    <row r="485" ht="12" customHeight="1" x14ac:dyDescent="0.4"/>
    <row r="486" ht="12" customHeight="1" x14ac:dyDescent="0.4"/>
    <row r="487" ht="12" customHeight="1" x14ac:dyDescent="0.4"/>
    <row r="488" ht="12" customHeight="1" x14ac:dyDescent="0.4"/>
    <row r="489" ht="12" customHeight="1" x14ac:dyDescent="0.4"/>
    <row r="490" ht="12" customHeight="1" x14ac:dyDescent="0.4"/>
    <row r="491" ht="12" customHeight="1" x14ac:dyDescent="0.4"/>
    <row r="492" ht="12" customHeight="1" x14ac:dyDescent="0.4"/>
    <row r="493" ht="12" customHeight="1" x14ac:dyDescent="0.4"/>
    <row r="494" ht="12" customHeight="1" x14ac:dyDescent="0.4"/>
    <row r="495" ht="12" customHeight="1" x14ac:dyDescent="0.4"/>
    <row r="496" ht="12" customHeight="1" x14ac:dyDescent="0.4"/>
    <row r="497" ht="12" customHeight="1" x14ac:dyDescent="0.4"/>
    <row r="498" ht="12" customHeight="1" x14ac:dyDescent="0.4"/>
    <row r="499" ht="12" customHeight="1" x14ac:dyDescent="0.4"/>
    <row r="500" ht="12" customHeight="1" x14ac:dyDescent="0.4"/>
    <row r="501" ht="12" customHeight="1" x14ac:dyDescent="0.4"/>
    <row r="502" ht="12" customHeight="1" x14ac:dyDescent="0.4"/>
    <row r="503" ht="12" customHeight="1" x14ac:dyDescent="0.4"/>
    <row r="504" ht="12" customHeight="1" x14ac:dyDescent="0.4"/>
    <row r="505" ht="12" customHeight="1" x14ac:dyDescent="0.4"/>
    <row r="506" ht="12" customHeight="1" x14ac:dyDescent="0.4"/>
    <row r="507" ht="12" customHeight="1" x14ac:dyDescent="0.4"/>
    <row r="508" ht="12" customHeight="1" x14ac:dyDescent="0.4"/>
    <row r="509" ht="12" customHeight="1" x14ac:dyDescent="0.4"/>
    <row r="510" ht="12" customHeight="1" x14ac:dyDescent="0.4"/>
    <row r="511" ht="12" customHeight="1" x14ac:dyDescent="0.4"/>
    <row r="512" ht="12" customHeight="1" x14ac:dyDescent="0.4"/>
    <row r="513" ht="12" customHeight="1" x14ac:dyDescent="0.4"/>
    <row r="514" ht="12" customHeight="1" x14ac:dyDescent="0.4"/>
    <row r="515" ht="12" customHeight="1" x14ac:dyDescent="0.4"/>
    <row r="516" ht="12" customHeight="1" x14ac:dyDescent="0.4"/>
    <row r="517" ht="12" customHeight="1" x14ac:dyDescent="0.4"/>
    <row r="518" ht="12" customHeight="1" x14ac:dyDescent="0.4"/>
    <row r="519" ht="12" customHeight="1" x14ac:dyDescent="0.4"/>
    <row r="520" ht="12" customHeight="1" x14ac:dyDescent="0.4"/>
    <row r="521" ht="12" customHeight="1" x14ac:dyDescent="0.4"/>
    <row r="522" ht="12" customHeight="1" x14ac:dyDescent="0.4"/>
    <row r="523" ht="12" customHeight="1" x14ac:dyDescent="0.4"/>
    <row r="524" ht="12" customHeight="1" x14ac:dyDescent="0.4"/>
    <row r="525" ht="12" customHeight="1" x14ac:dyDescent="0.4"/>
    <row r="526" ht="12" customHeight="1" x14ac:dyDescent="0.4"/>
    <row r="527" ht="12" customHeight="1" x14ac:dyDescent="0.4"/>
    <row r="528" ht="12" customHeight="1" x14ac:dyDescent="0.4"/>
    <row r="529" ht="12" customHeight="1" x14ac:dyDescent="0.4"/>
    <row r="530" ht="12" customHeight="1" x14ac:dyDescent="0.4"/>
    <row r="531" ht="12" customHeight="1" x14ac:dyDescent="0.4"/>
    <row r="532" ht="12" customHeight="1" x14ac:dyDescent="0.4"/>
    <row r="533" ht="12" customHeight="1" x14ac:dyDescent="0.4"/>
    <row r="534" ht="12" customHeight="1" x14ac:dyDescent="0.4"/>
    <row r="535" ht="12" customHeight="1" x14ac:dyDescent="0.4"/>
    <row r="536" ht="12" customHeight="1" x14ac:dyDescent="0.4"/>
    <row r="537" ht="12" customHeight="1" x14ac:dyDescent="0.4"/>
    <row r="538" ht="12" customHeight="1" x14ac:dyDescent="0.4"/>
    <row r="539" ht="12" customHeight="1" x14ac:dyDescent="0.4"/>
    <row r="540" ht="12" customHeight="1" x14ac:dyDescent="0.4"/>
    <row r="541" ht="12" customHeight="1" x14ac:dyDescent="0.4"/>
    <row r="542" ht="12" customHeight="1" x14ac:dyDescent="0.4"/>
    <row r="543" ht="12" customHeight="1" x14ac:dyDescent="0.4"/>
    <row r="544" ht="12" customHeight="1" x14ac:dyDescent="0.4"/>
    <row r="545" ht="12" customHeight="1" x14ac:dyDescent="0.4"/>
    <row r="546" ht="12" customHeight="1" x14ac:dyDescent="0.4"/>
    <row r="547" ht="12" customHeight="1" x14ac:dyDescent="0.4"/>
    <row r="548" ht="12" customHeight="1" x14ac:dyDescent="0.4"/>
    <row r="549" ht="12" customHeight="1" x14ac:dyDescent="0.4"/>
    <row r="550" ht="12" customHeight="1" x14ac:dyDescent="0.4"/>
    <row r="551" ht="12" customHeight="1" x14ac:dyDescent="0.4"/>
    <row r="552" ht="12" customHeight="1" x14ac:dyDescent="0.4"/>
    <row r="553" ht="12" customHeight="1" x14ac:dyDescent="0.4"/>
    <row r="554" ht="12" customHeight="1" x14ac:dyDescent="0.4"/>
    <row r="555" ht="12" customHeight="1" x14ac:dyDescent="0.4"/>
    <row r="556" ht="12" customHeight="1" x14ac:dyDescent="0.4"/>
    <row r="557" ht="12" customHeight="1" x14ac:dyDescent="0.4"/>
    <row r="558" ht="12" customHeight="1" x14ac:dyDescent="0.4"/>
    <row r="559" ht="12" customHeight="1" x14ac:dyDescent="0.4"/>
    <row r="560" ht="12" customHeight="1" x14ac:dyDescent="0.4"/>
    <row r="561" ht="12" customHeight="1" x14ac:dyDescent="0.4"/>
    <row r="562" ht="12" customHeight="1" x14ac:dyDescent="0.4"/>
    <row r="563" ht="12" customHeight="1" x14ac:dyDescent="0.4"/>
    <row r="564" ht="12" customHeight="1" x14ac:dyDescent="0.4"/>
    <row r="565" ht="12" customHeight="1" x14ac:dyDescent="0.4"/>
    <row r="566" ht="12" customHeight="1" x14ac:dyDescent="0.4"/>
    <row r="567" ht="12" customHeight="1" x14ac:dyDescent="0.4"/>
    <row r="568" ht="12" customHeight="1" x14ac:dyDescent="0.4"/>
    <row r="569" ht="12" customHeight="1" x14ac:dyDescent="0.4"/>
    <row r="570" ht="12" customHeight="1" x14ac:dyDescent="0.4"/>
    <row r="571" ht="12" customHeight="1" x14ac:dyDescent="0.4"/>
    <row r="572" ht="12" customHeight="1" x14ac:dyDescent="0.4"/>
    <row r="573" ht="12" customHeight="1" x14ac:dyDescent="0.4"/>
    <row r="574" ht="12" customHeight="1" x14ac:dyDescent="0.4"/>
    <row r="575" ht="12" customHeight="1" x14ac:dyDescent="0.4"/>
    <row r="576" ht="12" customHeight="1" x14ac:dyDescent="0.4"/>
    <row r="577" ht="12" customHeight="1" x14ac:dyDescent="0.4"/>
    <row r="578" ht="12" customHeight="1" x14ac:dyDescent="0.4"/>
    <row r="579" ht="12" customHeight="1" x14ac:dyDescent="0.4"/>
    <row r="580" ht="12" customHeight="1" x14ac:dyDescent="0.4"/>
    <row r="581" ht="12" customHeight="1" x14ac:dyDescent="0.4"/>
    <row r="582" ht="12" customHeight="1" x14ac:dyDescent="0.4"/>
    <row r="583" ht="12" customHeight="1" x14ac:dyDescent="0.4"/>
    <row r="584" ht="12" customHeight="1" x14ac:dyDescent="0.4"/>
    <row r="585" ht="12" customHeight="1" x14ac:dyDescent="0.4"/>
    <row r="586" ht="12" customHeight="1" x14ac:dyDescent="0.4"/>
    <row r="587" ht="12" customHeight="1" x14ac:dyDescent="0.4"/>
    <row r="588" ht="12" customHeight="1" x14ac:dyDescent="0.4"/>
    <row r="589" ht="12" customHeight="1" x14ac:dyDescent="0.4"/>
    <row r="590" ht="12" customHeight="1" x14ac:dyDescent="0.4"/>
    <row r="591" ht="12" customHeight="1" x14ac:dyDescent="0.4"/>
    <row r="592" ht="12" customHeight="1" x14ac:dyDescent="0.4"/>
    <row r="593" ht="12" customHeight="1" x14ac:dyDescent="0.4"/>
    <row r="594" ht="12" customHeight="1" x14ac:dyDescent="0.4"/>
    <row r="595" ht="12" customHeight="1" x14ac:dyDescent="0.4"/>
    <row r="596" ht="12" customHeight="1" x14ac:dyDescent="0.4"/>
    <row r="597" ht="12" customHeight="1" x14ac:dyDescent="0.4"/>
    <row r="598" ht="12" customHeight="1" x14ac:dyDescent="0.4"/>
    <row r="599" ht="12" customHeight="1" x14ac:dyDescent="0.4"/>
    <row r="600" ht="12" customHeight="1" x14ac:dyDescent="0.4"/>
    <row r="601" ht="12" customHeight="1" x14ac:dyDescent="0.4"/>
    <row r="602" ht="12" customHeight="1" x14ac:dyDescent="0.4"/>
    <row r="603" ht="12" customHeight="1" x14ac:dyDescent="0.4"/>
    <row r="604" ht="12" customHeight="1" x14ac:dyDescent="0.4"/>
    <row r="605" ht="12" customHeight="1" x14ac:dyDescent="0.4"/>
    <row r="606" ht="12" customHeight="1" x14ac:dyDescent="0.4"/>
    <row r="607" ht="12" customHeight="1" x14ac:dyDescent="0.4"/>
    <row r="608" ht="12" customHeight="1" x14ac:dyDescent="0.4"/>
    <row r="609" ht="12" customHeight="1" x14ac:dyDescent="0.4"/>
    <row r="610" ht="12" customHeight="1" x14ac:dyDescent="0.4"/>
    <row r="611" ht="12" customHeight="1" x14ac:dyDescent="0.4"/>
    <row r="612" ht="12" customHeight="1" x14ac:dyDescent="0.4"/>
    <row r="613" ht="12" customHeight="1" x14ac:dyDescent="0.4"/>
    <row r="614" ht="12" customHeight="1" x14ac:dyDescent="0.4"/>
    <row r="615" ht="12" customHeight="1" x14ac:dyDescent="0.4"/>
    <row r="616" ht="12" customHeight="1" x14ac:dyDescent="0.4"/>
    <row r="617" ht="12" customHeight="1" x14ac:dyDescent="0.4"/>
    <row r="618" ht="12" customHeight="1" x14ac:dyDescent="0.4"/>
    <row r="619" ht="12" customHeight="1" x14ac:dyDescent="0.4"/>
    <row r="620" ht="12" customHeight="1" x14ac:dyDescent="0.4"/>
    <row r="621" ht="12" customHeight="1" x14ac:dyDescent="0.4"/>
    <row r="622" ht="12" customHeight="1" x14ac:dyDescent="0.4"/>
    <row r="623" ht="12" customHeight="1" x14ac:dyDescent="0.4"/>
    <row r="624" ht="12" customHeight="1" x14ac:dyDescent="0.4"/>
    <row r="625" ht="12" customHeight="1" x14ac:dyDescent="0.4"/>
    <row r="626" ht="12" customHeight="1" x14ac:dyDescent="0.4"/>
    <row r="627" ht="12" customHeight="1" x14ac:dyDescent="0.4"/>
    <row r="628" ht="12" customHeight="1" x14ac:dyDescent="0.4"/>
    <row r="629" ht="12" customHeight="1" x14ac:dyDescent="0.4"/>
    <row r="630" ht="12" customHeight="1" x14ac:dyDescent="0.4"/>
    <row r="631" ht="12" customHeight="1" x14ac:dyDescent="0.4"/>
    <row r="632" ht="12" customHeight="1" x14ac:dyDescent="0.4"/>
    <row r="633" ht="12" customHeight="1" x14ac:dyDescent="0.4"/>
    <row r="634" ht="12" customHeight="1" x14ac:dyDescent="0.4"/>
    <row r="635" ht="12" customHeight="1" x14ac:dyDescent="0.4"/>
    <row r="636" ht="12" customHeight="1" x14ac:dyDescent="0.4"/>
    <row r="637" ht="12" customHeight="1" x14ac:dyDescent="0.4"/>
    <row r="638" ht="12" customHeight="1" x14ac:dyDescent="0.4"/>
    <row r="639" ht="12" customHeight="1" x14ac:dyDescent="0.4"/>
    <row r="640" ht="12" customHeight="1" x14ac:dyDescent="0.4"/>
    <row r="641" ht="12" customHeight="1" x14ac:dyDescent="0.4"/>
    <row r="642" ht="12" customHeight="1" x14ac:dyDescent="0.4"/>
    <row r="643" ht="12" customHeight="1" x14ac:dyDescent="0.4"/>
    <row r="644" ht="12" customHeight="1" x14ac:dyDescent="0.4"/>
    <row r="645" ht="12" customHeight="1" x14ac:dyDescent="0.4"/>
    <row r="646" ht="12" customHeight="1" x14ac:dyDescent="0.4"/>
    <row r="647" ht="12" customHeight="1" x14ac:dyDescent="0.4"/>
    <row r="648" ht="12" customHeight="1" x14ac:dyDescent="0.4"/>
    <row r="649" ht="12" customHeight="1" x14ac:dyDescent="0.4"/>
    <row r="650" ht="12" customHeight="1" x14ac:dyDescent="0.4"/>
    <row r="651" ht="12" customHeight="1" x14ac:dyDescent="0.4"/>
    <row r="652" ht="12" customHeight="1" x14ac:dyDescent="0.4"/>
    <row r="653" ht="12" customHeight="1" x14ac:dyDescent="0.4"/>
    <row r="654" ht="12" customHeight="1" x14ac:dyDescent="0.4"/>
    <row r="655" ht="12" customHeight="1" x14ac:dyDescent="0.4"/>
    <row r="656" ht="12" customHeight="1" x14ac:dyDescent="0.4"/>
    <row r="657" ht="12" customHeight="1" x14ac:dyDescent="0.4"/>
    <row r="658" ht="12" customHeight="1" x14ac:dyDescent="0.4"/>
    <row r="659" ht="12" customHeight="1" x14ac:dyDescent="0.4"/>
    <row r="660" ht="12" customHeight="1" x14ac:dyDescent="0.4"/>
    <row r="661" ht="12" customHeight="1" x14ac:dyDescent="0.4"/>
    <row r="662" ht="12" customHeight="1" x14ac:dyDescent="0.4"/>
    <row r="663" ht="12" customHeight="1" x14ac:dyDescent="0.4"/>
    <row r="664" ht="12" customHeight="1" x14ac:dyDescent="0.4"/>
    <row r="665" ht="12" customHeight="1" x14ac:dyDescent="0.4"/>
    <row r="666" ht="12" customHeight="1" x14ac:dyDescent="0.4"/>
    <row r="667" ht="12" customHeight="1" x14ac:dyDescent="0.4"/>
    <row r="668" ht="12" customHeight="1" x14ac:dyDescent="0.4"/>
    <row r="669" ht="12" customHeight="1" x14ac:dyDescent="0.4"/>
    <row r="670" ht="12" customHeight="1" x14ac:dyDescent="0.4"/>
    <row r="671" ht="12" customHeight="1" x14ac:dyDescent="0.4"/>
    <row r="672" ht="12" customHeight="1" x14ac:dyDescent="0.4"/>
    <row r="673" ht="12" customHeight="1" x14ac:dyDescent="0.4"/>
    <row r="674" ht="12" customHeight="1" x14ac:dyDescent="0.4"/>
    <row r="675" ht="12" customHeight="1" x14ac:dyDescent="0.4"/>
    <row r="676" ht="12" customHeight="1" x14ac:dyDescent="0.4"/>
    <row r="677" ht="12" customHeight="1" x14ac:dyDescent="0.4"/>
    <row r="678" ht="12" customHeight="1" x14ac:dyDescent="0.4"/>
    <row r="679" ht="12" customHeight="1" x14ac:dyDescent="0.4"/>
    <row r="680" ht="12" customHeight="1" x14ac:dyDescent="0.4"/>
    <row r="681" ht="12" customHeight="1" x14ac:dyDescent="0.4"/>
    <row r="682" ht="12" customHeight="1" x14ac:dyDescent="0.4"/>
    <row r="683" ht="12" customHeight="1" x14ac:dyDescent="0.4"/>
    <row r="684" ht="12" customHeight="1" x14ac:dyDescent="0.4"/>
    <row r="685" ht="12" customHeight="1" x14ac:dyDescent="0.4"/>
    <row r="686" ht="12" customHeight="1" x14ac:dyDescent="0.4"/>
    <row r="687" ht="12" customHeight="1" x14ac:dyDescent="0.4"/>
    <row r="688" ht="12" customHeight="1" x14ac:dyDescent="0.4"/>
    <row r="689" ht="12" customHeight="1" x14ac:dyDescent="0.4"/>
    <row r="690" ht="12" customHeight="1" x14ac:dyDescent="0.4"/>
    <row r="691" ht="12" customHeight="1" x14ac:dyDescent="0.4"/>
    <row r="692" ht="12" customHeight="1" x14ac:dyDescent="0.4"/>
    <row r="693" ht="12" customHeight="1" x14ac:dyDescent="0.4"/>
    <row r="694" ht="12" customHeight="1" x14ac:dyDescent="0.4"/>
    <row r="695" ht="12" customHeight="1" x14ac:dyDescent="0.4"/>
    <row r="696" ht="12" customHeight="1" x14ac:dyDescent="0.4"/>
    <row r="697" ht="12" customHeight="1" x14ac:dyDescent="0.4"/>
    <row r="698" ht="12" customHeight="1" x14ac:dyDescent="0.4"/>
    <row r="699" ht="12" customHeight="1" x14ac:dyDescent="0.4"/>
    <row r="700" ht="12" customHeight="1" x14ac:dyDescent="0.4"/>
    <row r="701" ht="12" customHeight="1" x14ac:dyDescent="0.4"/>
    <row r="702" ht="12" customHeight="1" x14ac:dyDescent="0.4"/>
    <row r="703" ht="12" customHeight="1" x14ac:dyDescent="0.4"/>
    <row r="704" ht="12" customHeight="1" x14ac:dyDescent="0.4"/>
    <row r="705" ht="12" customHeight="1" x14ac:dyDescent="0.4"/>
    <row r="706" ht="12" customHeight="1" x14ac:dyDescent="0.4"/>
    <row r="707" ht="12" customHeight="1" x14ac:dyDescent="0.4"/>
    <row r="708" ht="12" customHeight="1" x14ac:dyDescent="0.4"/>
    <row r="709" ht="12" customHeight="1" x14ac:dyDescent="0.4"/>
    <row r="710" ht="12" customHeight="1" x14ac:dyDescent="0.4"/>
    <row r="711" ht="12" customHeight="1" x14ac:dyDescent="0.4"/>
    <row r="712" ht="12" customHeight="1" x14ac:dyDescent="0.4"/>
    <row r="713" ht="12" customHeight="1" x14ac:dyDescent="0.4"/>
    <row r="714" ht="12" customHeight="1" x14ac:dyDescent="0.4"/>
    <row r="715" ht="12" customHeight="1" x14ac:dyDescent="0.4"/>
    <row r="716" ht="12" customHeight="1" x14ac:dyDescent="0.4"/>
    <row r="717" ht="12" customHeight="1" x14ac:dyDescent="0.4"/>
    <row r="718" ht="12" customHeight="1" x14ac:dyDescent="0.4"/>
    <row r="719" ht="12" customHeight="1" x14ac:dyDescent="0.4"/>
    <row r="720" ht="12" customHeight="1" x14ac:dyDescent="0.4"/>
    <row r="721" ht="12" customHeight="1" x14ac:dyDescent="0.4"/>
    <row r="722" ht="12" customHeight="1" x14ac:dyDescent="0.4"/>
    <row r="723" ht="12" customHeight="1" x14ac:dyDescent="0.4"/>
    <row r="724" ht="12" customHeight="1" x14ac:dyDescent="0.4"/>
    <row r="725" ht="12" customHeight="1" x14ac:dyDescent="0.4"/>
    <row r="726" ht="12" customHeight="1" x14ac:dyDescent="0.4"/>
    <row r="727" ht="12" customHeight="1" x14ac:dyDescent="0.4"/>
    <row r="728" ht="12" customHeight="1" x14ac:dyDescent="0.4"/>
    <row r="729" ht="12" customHeight="1" x14ac:dyDescent="0.4"/>
    <row r="730" ht="12" customHeight="1" x14ac:dyDescent="0.4"/>
    <row r="731" ht="12" customHeight="1" x14ac:dyDescent="0.4"/>
    <row r="732" ht="12" customHeight="1" x14ac:dyDescent="0.4"/>
    <row r="733" ht="12" customHeight="1" x14ac:dyDescent="0.4"/>
    <row r="734" ht="12" customHeight="1" x14ac:dyDescent="0.4"/>
    <row r="735" ht="12" customHeight="1" x14ac:dyDescent="0.4"/>
    <row r="736" ht="12" customHeight="1" x14ac:dyDescent="0.4"/>
    <row r="737" ht="12" customHeight="1" x14ac:dyDescent="0.4"/>
    <row r="738" ht="12" customHeight="1" x14ac:dyDescent="0.4"/>
    <row r="739" ht="12" customHeight="1" x14ac:dyDescent="0.4"/>
    <row r="740" ht="12" customHeight="1" x14ac:dyDescent="0.4"/>
    <row r="741" ht="12" customHeight="1" x14ac:dyDescent="0.4"/>
    <row r="742" ht="12" customHeight="1" x14ac:dyDescent="0.4"/>
    <row r="743" ht="12" customHeight="1" x14ac:dyDescent="0.4"/>
    <row r="744" ht="12" customHeight="1" x14ac:dyDescent="0.4"/>
    <row r="745" ht="12" customHeight="1" x14ac:dyDescent="0.4"/>
    <row r="746" ht="12" customHeight="1" x14ac:dyDescent="0.4"/>
    <row r="747" ht="12" customHeight="1" x14ac:dyDescent="0.4"/>
    <row r="748" ht="12" customHeight="1" x14ac:dyDescent="0.4"/>
    <row r="749" ht="12" customHeight="1" x14ac:dyDescent="0.4"/>
    <row r="750" ht="12" customHeight="1" x14ac:dyDescent="0.4"/>
    <row r="751" ht="12" customHeight="1" x14ac:dyDescent="0.4"/>
    <row r="752" ht="12" customHeight="1" x14ac:dyDescent="0.4"/>
    <row r="753" ht="12" customHeight="1" x14ac:dyDescent="0.4"/>
    <row r="754" ht="12" customHeight="1" x14ac:dyDescent="0.4"/>
    <row r="755" ht="12" customHeight="1" x14ac:dyDescent="0.4"/>
    <row r="756" ht="12" customHeight="1" x14ac:dyDescent="0.4"/>
    <row r="757" ht="12" customHeight="1" x14ac:dyDescent="0.4"/>
    <row r="758" ht="12" customHeight="1" x14ac:dyDescent="0.4"/>
    <row r="759" ht="12" customHeight="1" x14ac:dyDescent="0.4"/>
    <row r="760" ht="12" customHeight="1" x14ac:dyDescent="0.4"/>
    <row r="761" ht="12" customHeight="1" x14ac:dyDescent="0.4"/>
    <row r="762" ht="12" customHeight="1" x14ac:dyDescent="0.4"/>
    <row r="763" ht="12" customHeight="1" x14ac:dyDescent="0.4"/>
    <row r="764" ht="12" customHeight="1" x14ac:dyDescent="0.4"/>
    <row r="765" ht="12" customHeight="1" x14ac:dyDescent="0.4"/>
    <row r="766" ht="12" customHeight="1" x14ac:dyDescent="0.4"/>
    <row r="767" ht="12" customHeight="1" x14ac:dyDescent="0.4"/>
    <row r="768" ht="12" customHeight="1" x14ac:dyDescent="0.4"/>
    <row r="769" ht="12" customHeight="1" x14ac:dyDescent="0.4"/>
    <row r="770" ht="12" customHeight="1" x14ac:dyDescent="0.4"/>
    <row r="771" ht="12" customHeight="1" x14ac:dyDescent="0.4"/>
    <row r="772" ht="12" customHeight="1" x14ac:dyDescent="0.4"/>
    <row r="773" ht="12" customHeight="1" x14ac:dyDescent="0.4"/>
    <row r="774" ht="12" customHeight="1" x14ac:dyDescent="0.4"/>
    <row r="775" ht="12" customHeight="1" x14ac:dyDescent="0.4"/>
    <row r="776" ht="12" customHeight="1" x14ac:dyDescent="0.4"/>
    <row r="777" ht="12" customHeight="1" x14ac:dyDescent="0.4"/>
    <row r="778" ht="12" customHeight="1" x14ac:dyDescent="0.4"/>
    <row r="779" ht="12" customHeight="1" x14ac:dyDescent="0.4"/>
    <row r="780" ht="12" customHeight="1" x14ac:dyDescent="0.4"/>
    <row r="781" ht="12" customHeight="1" x14ac:dyDescent="0.4"/>
    <row r="782" ht="12" customHeight="1" x14ac:dyDescent="0.4"/>
    <row r="783" ht="12" customHeight="1" x14ac:dyDescent="0.4"/>
    <row r="784" ht="12" customHeight="1" x14ac:dyDescent="0.4"/>
    <row r="785" ht="12" customHeight="1" x14ac:dyDescent="0.4"/>
    <row r="786" ht="12" customHeight="1" x14ac:dyDescent="0.4"/>
    <row r="787" ht="12" customHeight="1" x14ac:dyDescent="0.4"/>
    <row r="788" ht="12" customHeight="1" x14ac:dyDescent="0.4"/>
    <row r="789" ht="12" customHeight="1" x14ac:dyDescent="0.4"/>
    <row r="790" ht="12" customHeight="1" x14ac:dyDescent="0.4"/>
    <row r="791" ht="12" customHeight="1" x14ac:dyDescent="0.4"/>
    <row r="792" ht="12" customHeight="1" x14ac:dyDescent="0.4"/>
    <row r="793" ht="12" customHeight="1" x14ac:dyDescent="0.4"/>
    <row r="794" ht="12" customHeight="1" x14ac:dyDescent="0.4"/>
    <row r="795" ht="12" customHeight="1" x14ac:dyDescent="0.4"/>
    <row r="796" ht="12" customHeight="1" x14ac:dyDescent="0.4"/>
    <row r="797" ht="12" customHeight="1" x14ac:dyDescent="0.4"/>
    <row r="798" ht="12" customHeight="1" x14ac:dyDescent="0.4"/>
    <row r="799" ht="12" customHeight="1" x14ac:dyDescent="0.4"/>
    <row r="800" ht="12" customHeight="1" x14ac:dyDescent="0.4"/>
    <row r="801" ht="12" customHeight="1" x14ac:dyDescent="0.4"/>
    <row r="802" ht="12" customHeight="1" x14ac:dyDescent="0.4"/>
    <row r="803" ht="12" customHeight="1" x14ac:dyDescent="0.4"/>
    <row r="804" ht="12" customHeight="1" x14ac:dyDescent="0.4"/>
    <row r="805" ht="12" customHeight="1" x14ac:dyDescent="0.4"/>
    <row r="806" ht="12" customHeight="1" x14ac:dyDescent="0.4"/>
    <row r="807" ht="12" customHeight="1" x14ac:dyDescent="0.4"/>
    <row r="808" ht="12" customHeight="1" x14ac:dyDescent="0.4"/>
    <row r="809" ht="12" customHeight="1" x14ac:dyDescent="0.4"/>
    <row r="810" ht="12" customHeight="1" x14ac:dyDescent="0.4"/>
    <row r="811" ht="12" customHeight="1" x14ac:dyDescent="0.4"/>
    <row r="812" ht="12" customHeight="1" x14ac:dyDescent="0.4"/>
    <row r="813" ht="12" customHeight="1" x14ac:dyDescent="0.4"/>
    <row r="814" ht="12" customHeight="1" x14ac:dyDescent="0.4"/>
    <row r="815" ht="12" customHeight="1" x14ac:dyDescent="0.4"/>
    <row r="816" ht="12" customHeight="1" x14ac:dyDescent="0.4"/>
    <row r="817" ht="12" customHeight="1" x14ac:dyDescent="0.4"/>
    <row r="818" ht="12" customHeight="1" x14ac:dyDescent="0.4"/>
    <row r="819" ht="12" customHeight="1" x14ac:dyDescent="0.4"/>
    <row r="820" ht="12" customHeight="1" x14ac:dyDescent="0.4"/>
    <row r="821" ht="12" customHeight="1" x14ac:dyDescent="0.4"/>
    <row r="822" ht="12" customHeight="1" x14ac:dyDescent="0.4"/>
    <row r="823" ht="12" customHeight="1" x14ac:dyDescent="0.4"/>
    <row r="824" ht="12" customHeight="1" x14ac:dyDescent="0.4"/>
    <row r="825" ht="12" customHeight="1" x14ac:dyDescent="0.4"/>
    <row r="826" ht="12" customHeight="1" x14ac:dyDescent="0.4"/>
    <row r="827" ht="12" customHeight="1" x14ac:dyDescent="0.4"/>
    <row r="828" ht="12" customHeight="1" x14ac:dyDescent="0.4"/>
    <row r="829" ht="12" customHeight="1" x14ac:dyDescent="0.4"/>
    <row r="830" ht="12" customHeight="1" x14ac:dyDescent="0.4"/>
    <row r="831" ht="12" customHeight="1" x14ac:dyDescent="0.4"/>
    <row r="832" ht="12" customHeight="1" x14ac:dyDescent="0.4"/>
    <row r="833" ht="12" customHeight="1" x14ac:dyDescent="0.4"/>
    <row r="834" ht="12" customHeight="1" x14ac:dyDescent="0.4"/>
    <row r="835" ht="12" customHeight="1" x14ac:dyDescent="0.4"/>
    <row r="836" ht="12" customHeight="1" x14ac:dyDescent="0.4"/>
    <row r="837" ht="12" customHeight="1" x14ac:dyDescent="0.4"/>
    <row r="838" ht="12" customHeight="1" x14ac:dyDescent="0.4"/>
    <row r="839" ht="12" customHeight="1" x14ac:dyDescent="0.4"/>
    <row r="840" ht="12" customHeight="1" x14ac:dyDescent="0.4"/>
    <row r="841" ht="12" customHeight="1" x14ac:dyDescent="0.4"/>
    <row r="842" ht="12" customHeight="1" x14ac:dyDescent="0.4"/>
    <row r="843" ht="12" customHeight="1" x14ac:dyDescent="0.4"/>
    <row r="844" ht="12" customHeight="1" x14ac:dyDescent="0.4"/>
    <row r="845" ht="12" customHeight="1" x14ac:dyDescent="0.4"/>
    <row r="846" ht="12" customHeight="1" x14ac:dyDescent="0.4"/>
    <row r="847" ht="12" customHeight="1" x14ac:dyDescent="0.4"/>
    <row r="848" ht="12" customHeight="1" x14ac:dyDescent="0.4"/>
    <row r="849" ht="12" customHeight="1" x14ac:dyDescent="0.4"/>
    <row r="850" ht="12" customHeight="1" x14ac:dyDescent="0.4"/>
    <row r="851" ht="12" customHeight="1" x14ac:dyDescent="0.4"/>
    <row r="852" ht="12" customHeight="1" x14ac:dyDescent="0.4"/>
    <row r="853" ht="12" customHeight="1" x14ac:dyDescent="0.4"/>
    <row r="854" ht="12" customHeight="1" x14ac:dyDescent="0.4"/>
    <row r="855" ht="12" customHeight="1" x14ac:dyDescent="0.4"/>
    <row r="856" ht="12" customHeight="1" x14ac:dyDescent="0.4"/>
    <row r="857" ht="12" customHeight="1" x14ac:dyDescent="0.4"/>
    <row r="858" ht="12" customHeight="1" x14ac:dyDescent="0.4"/>
    <row r="859" ht="12" customHeight="1" x14ac:dyDescent="0.4"/>
    <row r="860" ht="12" customHeight="1" x14ac:dyDescent="0.4"/>
    <row r="861" ht="12" customHeight="1" x14ac:dyDescent="0.4"/>
    <row r="862" ht="12" customHeight="1" x14ac:dyDescent="0.4"/>
    <row r="863" ht="12" customHeight="1" x14ac:dyDescent="0.4"/>
    <row r="864" ht="12" customHeight="1" x14ac:dyDescent="0.4"/>
    <row r="865" ht="12" customHeight="1" x14ac:dyDescent="0.4"/>
    <row r="866" ht="12" customHeight="1" x14ac:dyDescent="0.4"/>
    <row r="867" ht="12" customHeight="1" x14ac:dyDescent="0.4"/>
    <row r="868" ht="12" customHeight="1" x14ac:dyDescent="0.4"/>
    <row r="869" ht="12" customHeight="1" x14ac:dyDescent="0.4"/>
    <row r="870" ht="12" customHeight="1" x14ac:dyDescent="0.4"/>
    <row r="871" ht="12" customHeight="1" x14ac:dyDescent="0.4"/>
    <row r="872" ht="12" customHeight="1" x14ac:dyDescent="0.4"/>
    <row r="873" ht="12" customHeight="1" x14ac:dyDescent="0.4"/>
    <row r="874" ht="12" customHeight="1" x14ac:dyDescent="0.4"/>
    <row r="875" ht="12" customHeight="1" x14ac:dyDescent="0.4"/>
    <row r="876" ht="12" customHeight="1" x14ac:dyDescent="0.4"/>
    <row r="877" ht="12" customHeight="1" x14ac:dyDescent="0.4"/>
    <row r="878" ht="12" customHeight="1" x14ac:dyDescent="0.4"/>
    <row r="879" ht="12" customHeight="1" x14ac:dyDescent="0.4"/>
    <row r="880" ht="12" customHeight="1" x14ac:dyDescent="0.4"/>
    <row r="881" ht="12" customHeight="1" x14ac:dyDescent="0.4"/>
    <row r="882" ht="12" customHeight="1" x14ac:dyDescent="0.4"/>
    <row r="883" ht="12" customHeight="1" x14ac:dyDescent="0.4"/>
    <row r="884" ht="12" customHeight="1" x14ac:dyDescent="0.4"/>
    <row r="885" ht="12" customHeight="1" x14ac:dyDescent="0.4"/>
    <row r="886" ht="12" customHeight="1" x14ac:dyDescent="0.4"/>
    <row r="887" ht="12" customHeight="1" x14ac:dyDescent="0.4"/>
    <row r="888" ht="12" customHeight="1" x14ac:dyDescent="0.4"/>
    <row r="889" ht="12" customHeight="1" x14ac:dyDescent="0.4"/>
    <row r="890" ht="12" customHeight="1" x14ac:dyDescent="0.4"/>
    <row r="891" ht="12" customHeight="1" x14ac:dyDescent="0.4"/>
    <row r="892" ht="12" customHeight="1" x14ac:dyDescent="0.4"/>
    <row r="893" ht="12" customHeight="1" x14ac:dyDescent="0.4"/>
    <row r="894" ht="12" customHeight="1" x14ac:dyDescent="0.4"/>
    <row r="895" ht="12" customHeight="1" x14ac:dyDescent="0.4"/>
    <row r="896" ht="12" customHeight="1" x14ac:dyDescent="0.4"/>
    <row r="897" ht="12" customHeight="1" x14ac:dyDescent="0.4"/>
    <row r="898" ht="12" customHeight="1" x14ac:dyDescent="0.4"/>
    <row r="899" ht="12" customHeight="1" x14ac:dyDescent="0.4"/>
    <row r="900" ht="12" customHeight="1" x14ac:dyDescent="0.4"/>
    <row r="901" ht="12" customHeight="1" x14ac:dyDescent="0.4"/>
    <row r="902" ht="12" customHeight="1" x14ac:dyDescent="0.4"/>
    <row r="903" ht="12" customHeight="1" x14ac:dyDescent="0.4"/>
    <row r="904" ht="12" customHeight="1" x14ac:dyDescent="0.4"/>
    <row r="905" ht="12" customHeight="1" x14ac:dyDescent="0.4"/>
    <row r="906" ht="12" customHeight="1" x14ac:dyDescent="0.4"/>
    <row r="907" ht="12" customHeight="1" x14ac:dyDescent="0.4"/>
    <row r="908" ht="12" customHeight="1" x14ac:dyDescent="0.4"/>
    <row r="909" ht="12" customHeight="1" x14ac:dyDescent="0.4"/>
    <row r="910" ht="12" customHeight="1" x14ac:dyDescent="0.4"/>
    <row r="911" ht="12" customHeight="1" x14ac:dyDescent="0.4"/>
    <row r="912" ht="12" customHeight="1" x14ac:dyDescent="0.4"/>
    <row r="913" ht="12" customHeight="1" x14ac:dyDescent="0.4"/>
    <row r="914" ht="12" customHeight="1" x14ac:dyDescent="0.4"/>
    <row r="915" ht="12" customHeight="1" x14ac:dyDescent="0.4"/>
    <row r="916" ht="12" customHeight="1" x14ac:dyDescent="0.4"/>
    <row r="917" ht="12" customHeight="1" x14ac:dyDescent="0.4"/>
    <row r="918" ht="12" customHeight="1" x14ac:dyDescent="0.4"/>
    <row r="919" ht="12" customHeight="1" x14ac:dyDescent="0.4"/>
    <row r="920" ht="12" customHeight="1" x14ac:dyDescent="0.4"/>
    <row r="921" ht="12" customHeight="1" x14ac:dyDescent="0.4"/>
    <row r="922" ht="12" customHeight="1" x14ac:dyDescent="0.4"/>
    <row r="923" ht="12" customHeight="1" x14ac:dyDescent="0.4"/>
    <row r="924" ht="12" customHeight="1" x14ac:dyDescent="0.4"/>
    <row r="925" ht="12" customHeight="1" x14ac:dyDescent="0.4"/>
    <row r="926" ht="12" customHeight="1" x14ac:dyDescent="0.4"/>
    <row r="927" ht="12" customHeight="1" x14ac:dyDescent="0.4"/>
    <row r="928" ht="12" customHeight="1" x14ac:dyDescent="0.4"/>
    <row r="929" ht="12" customHeight="1" x14ac:dyDescent="0.4"/>
    <row r="930" ht="12" customHeight="1" x14ac:dyDescent="0.4"/>
    <row r="931" ht="12" customHeight="1" x14ac:dyDescent="0.4"/>
    <row r="932" ht="12" customHeight="1" x14ac:dyDescent="0.4"/>
    <row r="933" ht="12" customHeight="1" x14ac:dyDescent="0.4"/>
    <row r="934" ht="12" customHeight="1" x14ac:dyDescent="0.4"/>
    <row r="935" ht="12" customHeight="1" x14ac:dyDescent="0.4"/>
    <row r="936" ht="12" customHeight="1" x14ac:dyDescent="0.4"/>
    <row r="937" ht="12" customHeight="1" x14ac:dyDescent="0.4"/>
    <row r="938" ht="12" customHeight="1" x14ac:dyDescent="0.4"/>
    <row r="939" ht="12" customHeight="1" x14ac:dyDescent="0.4"/>
    <row r="940" ht="12" customHeight="1" x14ac:dyDescent="0.4"/>
    <row r="941" ht="12" customHeight="1" x14ac:dyDescent="0.4"/>
    <row r="942" ht="12" customHeight="1" x14ac:dyDescent="0.4"/>
    <row r="943" ht="12" customHeight="1" x14ac:dyDescent="0.4"/>
    <row r="944" ht="12" customHeight="1" x14ac:dyDescent="0.4"/>
    <row r="945" ht="12" customHeight="1" x14ac:dyDescent="0.4"/>
    <row r="946" ht="12" customHeight="1" x14ac:dyDescent="0.4"/>
    <row r="947" ht="12" customHeight="1" x14ac:dyDescent="0.4"/>
    <row r="948" ht="12" customHeight="1" x14ac:dyDescent="0.4"/>
    <row r="949" ht="12" customHeight="1" x14ac:dyDescent="0.4"/>
    <row r="950" ht="12" customHeight="1" x14ac:dyDescent="0.4"/>
    <row r="951" ht="12" customHeight="1" x14ac:dyDescent="0.4"/>
    <row r="952" ht="12" customHeight="1" x14ac:dyDescent="0.4"/>
    <row r="953" ht="12" customHeight="1" x14ac:dyDescent="0.4"/>
    <row r="954" ht="12" customHeight="1" x14ac:dyDescent="0.4"/>
    <row r="955" ht="12" customHeight="1" x14ac:dyDescent="0.4"/>
    <row r="956" ht="12" customHeight="1" x14ac:dyDescent="0.4"/>
    <row r="957" ht="12" customHeight="1" x14ac:dyDescent="0.4"/>
    <row r="958" ht="12" customHeight="1" x14ac:dyDescent="0.4"/>
    <row r="959" ht="12" customHeight="1" x14ac:dyDescent="0.4"/>
    <row r="960" ht="12" customHeight="1" x14ac:dyDescent="0.4"/>
    <row r="961" ht="12" customHeight="1" x14ac:dyDescent="0.4"/>
    <row r="962" ht="12" customHeight="1" x14ac:dyDescent="0.4"/>
    <row r="963" ht="12" customHeight="1" x14ac:dyDescent="0.4"/>
    <row r="964" ht="12" customHeight="1" x14ac:dyDescent="0.4"/>
    <row r="965" ht="12" customHeight="1" x14ac:dyDescent="0.4"/>
    <row r="966" ht="12" customHeight="1" x14ac:dyDescent="0.4"/>
    <row r="967" ht="12" customHeight="1" x14ac:dyDescent="0.4"/>
    <row r="968" ht="12" customHeight="1" x14ac:dyDescent="0.4"/>
    <row r="969" ht="12" customHeight="1" x14ac:dyDescent="0.4"/>
    <row r="970" ht="12" customHeight="1" x14ac:dyDescent="0.4"/>
    <row r="971" ht="12" customHeight="1" x14ac:dyDescent="0.4"/>
    <row r="972" ht="12" customHeight="1" x14ac:dyDescent="0.4"/>
    <row r="973" ht="12" customHeight="1" x14ac:dyDescent="0.4"/>
    <row r="974" ht="12" customHeight="1" x14ac:dyDescent="0.4"/>
    <row r="975" ht="12" customHeight="1" x14ac:dyDescent="0.4"/>
    <row r="976" ht="12" customHeight="1" x14ac:dyDescent="0.4"/>
    <row r="977" ht="12" customHeight="1" x14ac:dyDescent="0.4"/>
    <row r="978" ht="12" customHeight="1" x14ac:dyDescent="0.4"/>
    <row r="979" ht="12" customHeight="1" x14ac:dyDescent="0.4"/>
    <row r="980" ht="12" customHeight="1" x14ac:dyDescent="0.4"/>
    <row r="981" ht="12" customHeight="1" x14ac:dyDescent="0.4"/>
    <row r="982" ht="12" customHeight="1" x14ac:dyDescent="0.4"/>
    <row r="983" ht="12" customHeight="1" x14ac:dyDescent="0.4"/>
    <row r="984" ht="12" customHeight="1" x14ac:dyDescent="0.4"/>
    <row r="985" ht="12" customHeight="1" x14ac:dyDescent="0.4"/>
    <row r="986" ht="12" customHeight="1" x14ac:dyDescent="0.4"/>
    <row r="987" ht="12" customHeight="1" x14ac:dyDescent="0.4"/>
    <row r="988" ht="12" customHeight="1" x14ac:dyDescent="0.4"/>
    <row r="989" ht="12" customHeight="1" x14ac:dyDescent="0.4"/>
    <row r="990" ht="12" customHeight="1" x14ac:dyDescent="0.4"/>
    <row r="991" ht="12" customHeight="1" x14ac:dyDescent="0.4"/>
    <row r="992" ht="12" customHeight="1" x14ac:dyDescent="0.4"/>
    <row r="993" ht="12" customHeight="1" x14ac:dyDescent="0.4"/>
    <row r="994" ht="12" customHeight="1" x14ac:dyDescent="0.4"/>
    <row r="995" ht="12" customHeight="1" x14ac:dyDescent="0.4"/>
    <row r="996" ht="12" customHeight="1" x14ac:dyDescent="0.4"/>
    <row r="997" ht="12" customHeight="1" x14ac:dyDescent="0.4"/>
    <row r="998" ht="12" customHeight="1" x14ac:dyDescent="0.4"/>
    <row r="999" ht="12" customHeight="1" x14ac:dyDescent="0.4"/>
    <row r="1000" ht="12" customHeight="1" x14ac:dyDescent="0.4"/>
  </sheetData>
  <mergeCells count="5">
    <mergeCell ref="A1:B1"/>
    <mergeCell ref="A4:B4"/>
    <mergeCell ref="A6:B6"/>
    <mergeCell ref="A7:B7"/>
    <mergeCell ref="A9:B9"/>
  </mergeCell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Z999"/>
  <sheetViews>
    <sheetView topLeftCell="A61" workbookViewId="0">
      <selection activeCell="A75" sqref="A75"/>
    </sheetView>
  </sheetViews>
  <sheetFormatPr defaultColWidth="14.44140625" defaultRowHeight="15" customHeight="1" x14ac:dyDescent="0.4"/>
  <cols>
    <col min="1" max="1" width="31" customWidth="1"/>
    <col min="2" max="2" width="19.109375" customWidth="1"/>
    <col min="3" max="3" width="15.5546875" customWidth="1"/>
    <col min="4" max="4" width="14.27734375" customWidth="1"/>
    <col min="5" max="26" width="8.71875" customWidth="1"/>
  </cols>
  <sheetData>
    <row r="1" spans="1:26" ht="12.75" customHeight="1" x14ac:dyDescent="0.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2.75" customHeight="1" x14ac:dyDescent="0.5">
      <c r="A2" s="98" t="s">
        <v>7</v>
      </c>
      <c r="B2" s="99"/>
      <c r="C2" s="99"/>
      <c r="D2" s="10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2.75" customHeight="1" x14ac:dyDescent="0.5">
      <c r="A3" s="101" t="s">
        <v>8</v>
      </c>
      <c r="B3" s="102"/>
      <c r="C3" s="102"/>
      <c r="D3" s="10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2.75" customHeight="1" x14ac:dyDescent="0.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2.75" customHeight="1" x14ac:dyDescent="0.55000000000000004">
      <c r="A5" s="4" t="s">
        <v>9</v>
      </c>
      <c r="B5" s="5"/>
      <c r="C5" s="5"/>
      <c r="D5" s="5"/>
      <c r="E5" s="5"/>
      <c r="F5" s="5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2.75" customHeight="1" x14ac:dyDescent="0.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2.75" customHeight="1" x14ac:dyDescent="0.5">
      <c r="A7" s="3"/>
      <c r="B7" s="6" t="s">
        <v>10</v>
      </c>
      <c r="C7" s="6" t="s">
        <v>11</v>
      </c>
      <c r="D7" s="6" t="s">
        <v>12</v>
      </c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2.75" customHeight="1" x14ac:dyDescent="0.5">
      <c r="A8" s="7" t="s">
        <v>13</v>
      </c>
      <c r="B8" s="8">
        <v>500</v>
      </c>
      <c r="C8" s="8">
        <v>250</v>
      </c>
      <c r="D8" s="8">
        <v>35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2.75" customHeight="1" x14ac:dyDescent="0.5">
      <c r="A9" s="7" t="s">
        <v>14</v>
      </c>
      <c r="B9" s="8">
        <v>300</v>
      </c>
      <c r="C9" s="8">
        <v>120</v>
      </c>
      <c r="D9" s="8">
        <v>45</v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2.75" customHeight="1" x14ac:dyDescent="0.5">
      <c r="A10" s="7" t="s">
        <v>15</v>
      </c>
      <c r="B10" s="9">
        <v>100</v>
      </c>
      <c r="C10" s="9">
        <v>95</v>
      </c>
      <c r="D10" s="9">
        <v>55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2.75" customHeight="1" x14ac:dyDescent="0.5">
      <c r="A11" s="10" t="s">
        <v>16</v>
      </c>
      <c r="B11" s="11">
        <f>SUM(B8:B10)</f>
        <v>900</v>
      </c>
      <c r="C11" s="11">
        <f t="shared" ref="C11:D11" si="0">SUM(C8:C10)</f>
        <v>465</v>
      </c>
      <c r="D11" s="11">
        <f t="shared" si="0"/>
        <v>135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2.75" customHeight="1" x14ac:dyDescent="0.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2.75" customHeight="1" x14ac:dyDescent="0.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2.75" customHeight="1" x14ac:dyDescent="0.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2.75" customHeight="1" x14ac:dyDescent="0.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2.75" customHeight="1" x14ac:dyDescent="0.55000000000000004">
      <c r="A16" s="4" t="s">
        <v>17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2.75" customHeight="1" x14ac:dyDescent="0.5">
      <c r="A17" s="12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2.75" customHeight="1" x14ac:dyDescent="0.5">
      <c r="A18" s="13" t="s">
        <v>18</v>
      </c>
      <c r="B18" s="14">
        <v>0.04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2.75" customHeight="1" x14ac:dyDescent="0.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2.75" customHeight="1" x14ac:dyDescent="0.5">
      <c r="A20" s="3"/>
      <c r="B20" s="6" t="s">
        <v>10</v>
      </c>
      <c r="C20" s="6" t="s">
        <v>11</v>
      </c>
      <c r="D20" s="6" t="s">
        <v>12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2.75" customHeight="1" x14ac:dyDescent="0.5">
      <c r="A21" s="7" t="s">
        <v>13</v>
      </c>
      <c r="B21" s="15">
        <v>500</v>
      </c>
      <c r="C21" s="15">
        <v>250</v>
      </c>
      <c r="D21" s="15">
        <v>35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2.75" customHeight="1" x14ac:dyDescent="0.5">
      <c r="A22" s="7" t="s">
        <v>14</v>
      </c>
      <c r="B22" s="16">
        <v>400</v>
      </c>
      <c r="C22" s="16">
        <v>700</v>
      </c>
      <c r="D22" s="16">
        <v>60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2.75" customHeight="1" x14ac:dyDescent="0.5">
      <c r="A23" s="7" t="s">
        <v>15</v>
      </c>
      <c r="B23" s="17">
        <v>100</v>
      </c>
      <c r="C23" s="17">
        <v>95</v>
      </c>
      <c r="D23" s="17">
        <v>55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2.75" customHeight="1" x14ac:dyDescent="0.5">
      <c r="A24" s="7" t="s">
        <v>19</v>
      </c>
      <c r="B24" s="18">
        <f>SUM(B21:B23)*$B$18</f>
        <v>40</v>
      </c>
      <c r="C24" s="18">
        <f t="shared" ref="C24:D24" si="1">SUM(C21:C23)*$B$18</f>
        <v>41.800000000000004</v>
      </c>
      <c r="D24" s="18">
        <f t="shared" si="1"/>
        <v>6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2.75" customHeight="1" x14ac:dyDescent="0.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2.75" customHeight="1" x14ac:dyDescent="0.5">
      <c r="A26" s="19" t="s">
        <v>20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2.75" customHeight="1" x14ac:dyDescent="0.5">
      <c r="A27" s="20"/>
      <c r="B27" s="21" t="s">
        <v>13</v>
      </c>
      <c r="C27" s="21" t="s">
        <v>14</v>
      </c>
      <c r="D27" s="22" t="s">
        <v>15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2.75" customHeight="1" x14ac:dyDescent="0.5">
      <c r="A28" s="23" t="s">
        <v>21</v>
      </c>
      <c r="B28" s="24">
        <v>500</v>
      </c>
      <c r="C28" s="24">
        <v>250</v>
      </c>
      <c r="D28" s="25">
        <v>35</v>
      </c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2.75" customHeight="1" x14ac:dyDescent="0.5">
      <c r="A29" s="23" t="s">
        <v>22</v>
      </c>
      <c r="B29" s="24">
        <v>300</v>
      </c>
      <c r="C29" s="24">
        <v>120</v>
      </c>
      <c r="D29" s="25">
        <v>45</v>
      </c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2.75" customHeight="1" x14ac:dyDescent="0.5">
      <c r="A30" s="23" t="s">
        <v>23</v>
      </c>
      <c r="B30" s="26">
        <v>100</v>
      </c>
      <c r="C30" s="26">
        <v>95</v>
      </c>
      <c r="D30" s="27">
        <v>55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2.75" customHeight="1" x14ac:dyDescent="0.5">
      <c r="A31" s="28" t="s">
        <v>24</v>
      </c>
      <c r="B31" s="29">
        <f t="shared" ref="B31:D31" si="2">SUM(B28:B30)*$B$18</f>
        <v>36</v>
      </c>
      <c r="C31" s="29">
        <f t="shared" si="2"/>
        <v>18.600000000000001</v>
      </c>
      <c r="D31" s="30">
        <f t="shared" si="2"/>
        <v>5.4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2.75" customHeight="1" x14ac:dyDescent="0.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2.75" customHeight="1" x14ac:dyDescent="0.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2.75" customHeight="1" x14ac:dyDescent="0.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2.75" customHeight="1" x14ac:dyDescent="0.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2.75" customHeight="1" x14ac:dyDescent="0.55000000000000004">
      <c r="A36" s="4" t="s">
        <v>25</v>
      </c>
      <c r="B36" s="3"/>
      <c r="C36" s="3"/>
      <c r="D36" s="3"/>
      <c r="E36" s="3"/>
      <c r="F36" s="3"/>
      <c r="G36" s="3"/>
      <c r="H36" s="3"/>
      <c r="I36" s="3"/>
      <c r="J36" s="31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2.75" customHeight="1" x14ac:dyDescent="0.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2.75" customHeight="1" x14ac:dyDescent="0.5">
      <c r="A38" s="32"/>
      <c r="B38" s="33" t="s">
        <v>26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2.75" customHeight="1" x14ac:dyDescent="0.5">
      <c r="A39" s="34" t="s">
        <v>22</v>
      </c>
      <c r="B39" s="35">
        <v>123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2.75" customHeight="1" x14ac:dyDescent="0.5">
      <c r="A40" s="36" t="s">
        <v>23</v>
      </c>
      <c r="B40" s="37">
        <v>235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2.75" customHeight="1" x14ac:dyDescent="0.5">
      <c r="A41" s="36" t="s">
        <v>27</v>
      </c>
      <c r="B41" s="38">
        <v>544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2.75" customHeight="1" x14ac:dyDescent="0.5">
      <c r="A42" s="36" t="s">
        <v>28</v>
      </c>
      <c r="B42" s="38">
        <v>829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2.75" customHeight="1" x14ac:dyDescent="0.5">
      <c r="A43" s="39" t="s">
        <v>29</v>
      </c>
      <c r="B43" s="40">
        <v>610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2.75" customHeight="1" x14ac:dyDescent="0.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2.75" customHeight="1" x14ac:dyDescent="0.5">
      <c r="A45" s="7" t="s">
        <v>30</v>
      </c>
      <c r="B45" s="77">
        <f>SUM(B39:B43)</f>
        <v>2341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2.75" customHeight="1" x14ac:dyDescent="0.5">
      <c r="A46" s="7" t="s">
        <v>31</v>
      </c>
      <c r="B46" s="77">
        <f>AVERAGE(B39:B43)</f>
        <v>468.2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2.75" customHeight="1" x14ac:dyDescent="0.5">
      <c r="A47" s="7" t="s">
        <v>32</v>
      </c>
      <c r="B47" s="77">
        <f>MIN(B39:B43)</f>
        <v>123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2.75" customHeight="1" x14ac:dyDescent="0.5">
      <c r="A48" s="7" t="s">
        <v>33</v>
      </c>
      <c r="B48" s="77">
        <f>+MAX(B39:B43)</f>
        <v>829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2.75" customHeight="1" x14ac:dyDescent="0.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2.75" customHeight="1" x14ac:dyDescent="0.5">
      <c r="A50" s="7" t="s">
        <v>34</v>
      </c>
      <c r="B50" s="41">
        <f ca="1">TODAY()</f>
        <v>44627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2.75" customHeight="1" x14ac:dyDescent="0.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2.75" customHeight="1" x14ac:dyDescent="0.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2.75" customHeight="1" x14ac:dyDescent="0.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2.75" customHeight="1" x14ac:dyDescent="0.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2.75" customHeight="1" x14ac:dyDescent="0.55000000000000004">
      <c r="A55" s="42" t="s">
        <v>35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2.75" customHeight="1" x14ac:dyDescent="0.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2.75" customHeight="1" x14ac:dyDescent="0.5">
      <c r="A57" s="3"/>
      <c r="B57" s="13" t="s">
        <v>36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2.75" customHeight="1" x14ac:dyDescent="0.5">
      <c r="A58" s="13" t="s">
        <v>13</v>
      </c>
      <c r="B58" s="8">
        <v>500</v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2.75" customHeight="1" x14ac:dyDescent="0.5">
      <c r="A59" s="13" t="s">
        <v>14</v>
      </c>
      <c r="B59" s="8">
        <v>350</v>
      </c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2.75" customHeight="1" x14ac:dyDescent="0.5">
      <c r="A60" s="13" t="s">
        <v>15</v>
      </c>
      <c r="B60" s="8">
        <v>495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2.75" customHeight="1" x14ac:dyDescent="0.5">
      <c r="A61" s="13" t="s">
        <v>37</v>
      </c>
      <c r="B61" s="8">
        <v>620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2.75" customHeight="1" x14ac:dyDescent="0.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2.75" customHeight="1" x14ac:dyDescent="0.5">
      <c r="A63" s="7" t="s">
        <v>38</v>
      </c>
      <c r="B63" s="83" t="str">
        <f>INDEX(A58:A61,MATCH(C63,B58:B61,0))</f>
        <v>Quarter 4</v>
      </c>
      <c r="C63" s="93">
        <f>MAX(B58:B61)</f>
        <v>620</v>
      </c>
      <c r="D63" s="12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2.75" customHeight="1" x14ac:dyDescent="0.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2.75" customHeight="1" x14ac:dyDescent="0.5">
      <c r="A65" s="2" t="s">
        <v>39</v>
      </c>
      <c r="B65" s="78">
        <f>MEDIAN(B58:B61)</f>
        <v>497.5</v>
      </c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2.75" customHeight="1" x14ac:dyDescent="0.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2.75" customHeight="1" x14ac:dyDescent="0.5">
      <c r="A67" s="2" t="s">
        <v>40</v>
      </c>
      <c r="B67" s="78">
        <f>AVERAGE(B58:B61)</f>
        <v>491.25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2.75" customHeight="1" x14ac:dyDescent="0.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2.75" customHeight="1" x14ac:dyDescent="0.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2.75" customHeight="1" x14ac:dyDescent="0.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2.75" customHeight="1" x14ac:dyDescent="0.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2.75" customHeight="1" x14ac:dyDescent="0.5">
      <c r="A72" s="82" t="s">
        <v>97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2.75" customHeight="1" x14ac:dyDescent="0.5">
      <c r="A73" s="81" t="s">
        <v>91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2.75" customHeight="1" x14ac:dyDescent="0.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2.75" customHeight="1" x14ac:dyDescent="0.5">
      <c r="A75" s="89" t="s">
        <v>90</v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2.75" customHeight="1" x14ac:dyDescent="0.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2.75" customHeight="1" x14ac:dyDescent="0.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2.75" customHeight="1" x14ac:dyDescent="0.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2.75" customHeight="1" x14ac:dyDescent="0.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2.75" customHeight="1" x14ac:dyDescent="0.5">
      <c r="A80" s="4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2.75" customHeight="1" x14ac:dyDescent="0.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2.75" customHeight="1" x14ac:dyDescent="0.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2.75" customHeight="1" x14ac:dyDescent="0.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2.75" customHeight="1" x14ac:dyDescent="0.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2.75" customHeight="1" x14ac:dyDescent="0.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2.75" customHeight="1" x14ac:dyDescent="0.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2.75" customHeight="1" x14ac:dyDescent="0.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2.75" customHeight="1" x14ac:dyDescent="0.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2.75" customHeight="1" x14ac:dyDescent="0.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2.75" customHeight="1" x14ac:dyDescent="0.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2.75" customHeight="1" x14ac:dyDescent="0.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2.75" customHeight="1" x14ac:dyDescent="0.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2.75" customHeight="1" x14ac:dyDescent="0.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2.75" customHeight="1" x14ac:dyDescent="0.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2.75" customHeight="1" x14ac:dyDescent="0.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2.75" customHeight="1" x14ac:dyDescent="0.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2.75" customHeight="1" x14ac:dyDescent="0.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2.75" customHeight="1" x14ac:dyDescent="0.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2.75" customHeight="1" x14ac:dyDescent="0.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2.75" customHeight="1" x14ac:dyDescent="0.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2.75" customHeight="1" x14ac:dyDescent="0.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2.75" customHeight="1" x14ac:dyDescent="0.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2.75" customHeight="1" x14ac:dyDescent="0.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2.75" customHeight="1" x14ac:dyDescent="0.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2.75" customHeight="1" x14ac:dyDescent="0.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2.75" customHeight="1" x14ac:dyDescent="0.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2.75" customHeight="1" x14ac:dyDescent="0.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2.75" customHeight="1" x14ac:dyDescent="0.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2.75" customHeight="1" x14ac:dyDescent="0.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2.75" customHeight="1" x14ac:dyDescent="0.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2.75" customHeight="1" x14ac:dyDescent="0.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2.75" customHeight="1" x14ac:dyDescent="0.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2.75" customHeight="1" x14ac:dyDescent="0.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2.75" customHeight="1" x14ac:dyDescent="0.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2.75" customHeight="1" x14ac:dyDescent="0.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2.75" customHeight="1" x14ac:dyDescent="0.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2.75" customHeight="1" x14ac:dyDescent="0.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2.75" customHeight="1" x14ac:dyDescent="0.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2.75" customHeight="1" x14ac:dyDescent="0.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2.75" customHeight="1" x14ac:dyDescent="0.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2.75" customHeight="1" x14ac:dyDescent="0.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2.75" customHeight="1" x14ac:dyDescent="0.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2.75" customHeight="1" x14ac:dyDescent="0.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2.75" customHeight="1" x14ac:dyDescent="0.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2.75" customHeight="1" x14ac:dyDescent="0.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2.75" customHeight="1" x14ac:dyDescent="0.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2.75" customHeight="1" x14ac:dyDescent="0.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2.75" customHeight="1" x14ac:dyDescent="0.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2.75" customHeight="1" x14ac:dyDescent="0.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2.75" customHeight="1" x14ac:dyDescent="0.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2.75" customHeight="1" x14ac:dyDescent="0.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2.75" customHeight="1" x14ac:dyDescent="0.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2.75" customHeight="1" x14ac:dyDescent="0.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2.75" customHeight="1" x14ac:dyDescent="0.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2.75" customHeight="1" x14ac:dyDescent="0.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2.75" customHeight="1" x14ac:dyDescent="0.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2.75" customHeight="1" x14ac:dyDescent="0.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2.75" customHeight="1" x14ac:dyDescent="0.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2.75" customHeight="1" x14ac:dyDescent="0.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2.75" customHeight="1" x14ac:dyDescent="0.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2.75" customHeight="1" x14ac:dyDescent="0.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2.75" customHeight="1" x14ac:dyDescent="0.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2.75" customHeight="1" x14ac:dyDescent="0.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2.75" customHeight="1" x14ac:dyDescent="0.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2.75" customHeight="1" x14ac:dyDescent="0.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2.75" customHeight="1" x14ac:dyDescent="0.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2.75" customHeight="1" x14ac:dyDescent="0.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2.75" customHeight="1" x14ac:dyDescent="0.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2.75" customHeight="1" x14ac:dyDescent="0.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2.75" customHeight="1" x14ac:dyDescent="0.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2.75" customHeight="1" x14ac:dyDescent="0.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2.75" customHeight="1" x14ac:dyDescent="0.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2.75" customHeight="1" x14ac:dyDescent="0.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2.75" customHeight="1" x14ac:dyDescent="0.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2.75" customHeight="1" x14ac:dyDescent="0.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2.75" customHeight="1" x14ac:dyDescent="0.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2.75" customHeight="1" x14ac:dyDescent="0.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2.75" customHeight="1" x14ac:dyDescent="0.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2.75" customHeight="1" x14ac:dyDescent="0.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2.75" customHeight="1" x14ac:dyDescent="0.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2.75" customHeight="1" x14ac:dyDescent="0.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2.75" customHeight="1" x14ac:dyDescent="0.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2.75" customHeight="1" x14ac:dyDescent="0.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2.75" customHeight="1" x14ac:dyDescent="0.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2.75" customHeight="1" x14ac:dyDescent="0.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2.75" customHeight="1" x14ac:dyDescent="0.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2.75" customHeight="1" x14ac:dyDescent="0.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2.75" customHeight="1" x14ac:dyDescent="0.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2.75" customHeight="1" x14ac:dyDescent="0.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2.75" customHeight="1" x14ac:dyDescent="0.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2.75" customHeight="1" x14ac:dyDescent="0.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2.75" customHeight="1" x14ac:dyDescent="0.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2.75" customHeight="1" x14ac:dyDescent="0.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2.75" customHeight="1" x14ac:dyDescent="0.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2.75" customHeight="1" x14ac:dyDescent="0.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2.75" customHeight="1" x14ac:dyDescent="0.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2.75" customHeight="1" x14ac:dyDescent="0.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2.75" customHeight="1" x14ac:dyDescent="0.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2.75" customHeight="1" x14ac:dyDescent="0.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2.75" customHeight="1" x14ac:dyDescent="0.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2.75" customHeight="1" x14ac:dyDescent="0.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2.75" customHeight="1" x14ac:dyDescent="0.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2.75" customHeight="1" x14ac:dyDescent="0.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2.75" customHeight="1" x14ac:dyDescent="0.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2.75" customHeight="1" x14ac:dyDescent="0.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2.75" customHeight="1" x14ac:dyDescent="0.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2.75" customHeight="1" x14ac:dyDescent="0.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2.75" customHeight="1" x14ac:dyDescent="0.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2.75" customHeight="1" x14ac:dyDescent="0.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2.75" customHeight="1" x14ac:dyDescent="0.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2.75" customHeight="1" x14ac:dyDescent="0.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2.75" customHeight="1" x14ac:dyDescent="0.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2.75" customHeight="1" x14ac:dyDescent="0.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2.75" customHeight="1" x14ac:dyDescent="0.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2.75" customHeight="1" x14ac:dyDescent="0.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2.75" customHeight="1" x14ac:dyDescent="0.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2.75" customHeight="1" x14ac:dyDescent="0.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2.75" customHeight="1" x14ac:dyDescent="0.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2.75" customHeight="1" x14ac:dyDescent="0.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2.75" customHeight="1" x14ac:dyDescent="0.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2.75" customHeight="1" x14ac:dyDescent="0.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2.75" customHeight="1" x14ac:dyDescent="0.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2.75" customHeight="1" x14ac:dyDescent="0.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2.75" customHeight="1" x14ac:dyDescent="0.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2.75" customHeight="1" x14ac:dyDescent="0.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2.75" customHeight="1" x14ac:dyDescent="0.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2.75" customHeight="1" x14ac:dyDescent="0.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2.75" customHeight="1" x14ac:dyDescent="0.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2.75" customHeight="1" x14ac:dyDescent="0.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2.75" customHeight="1" x14ac:dyDescent="0.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2.75" customHeight="1" x14ac:dyDescent="0.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2.75" customHeight="1" x14ac:dyDescent="0.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2.75" customHeight="1" x14ac:dyDescent="0.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2.75" customHeight="1" x14ac:dyDescent="0.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2.75" customHeight="1" x14ac:dyDescent="0.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2.75" customHeight="1" x14ac:dyDescent="0.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2.75" customHeight="1" x14ac:dyDescent="0.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2.75" customHeight="1" x14ac:dyDescent="0.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2.75" customHeight="1" x14ac:dyDescent="0.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2.75" customHeight="1" x14ac:dyDescent="0.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2.75" customHeight="1" x14ac:dyDescent="0.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2.75" customHeight="1" x14ac:dyDescent="0.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2.75" customHeight="1" x14ac:dyDescent="0.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2.75" customHeight="1" x14ac:dyDescent="0.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2.75" customHeight="1" x14ac:dyDescent="0.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2.75" customHeight="1" x14ac:dyDescent="0.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2.75" customHeight="1" x14ac:dyDescent="0.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2.75" customHeight="1" x14ac:dyDescent="0.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2.75" customHeight="1" x14ac:dyDescent="0.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2.75" customHeight="1" x14ac:dyDescent="0.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2.75" customHeight="1" x14ac:dyDescent="0.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2.75" customHeight="1" x14ac:dyDescent="0.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2.75" customHeight="1" x14ac:dyDescent="0.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2.75" customHeight="1" x14ac:dyDescent="0.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2.75" customHeight="1" x14ac:dyDescent="0.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2.75" customHeight="1" x14ac:dyDescent="0.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2.75" customHeight="1" x14ac:dyDescent="0.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2.75" customHeight="1" x14ac:dyDescent="0.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2.75" customHeight="1" x14ac:dyDescent="0.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2.75" customHeight="1" x14ac:dyDescent="0.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2.75" customHeight="1" x14ac:dyDescent="0.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2.75" customHeight="1" x14ac:dyDescent="0.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2.75" customHeight="1" x14ac:dyDescent="0.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2.75" customHeight="1" x14ac:dyDescent="0.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2.75" customHeight="1" x14ac:dyDescent="0.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2.75" customHeight="1" x14ac:dyDescent="0.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2.75" customHeight="1" x14ac:dyDescent="0.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2.75" customHeight="1" x14ac:dyDescent="0.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2.75" customHeight="1" x14ac:dyDescent="0.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2.75" customHeight="1" x14ac:dyDescent="0.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2.75" customHeight="1" x14ac:dyDescent="0.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2.75" customHeight="1" x14ac:dyDescent="0.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2.75" customHeight="1" x14ac:dyDescent="0.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2.75" customHeight="1" x14ac:dyDescent="0.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2.75" customHeight="1" x14ac:dyDescent="0.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2.75" customHeight="1" x14ac:dyDescent="0.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2.75" customHeight="1" x14ac:dyDescent="0.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2.75" customHeight="1" x14ac:dyDescent="0.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2.75" customHeight="1" x14ac:dyDescent="0.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2.75" customHeight="1" x14ac:dyDescent="0.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2.75" customHeight="1" x14ac:dyDescent="0.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2.75" customHeight="1" x14ac:dyDescent="0.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2.75" customHeight="1" x14ac:dyDescent="0.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2.75" customHeight="1" x14ac:dyDescent="0.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2.75" customHeight="1" x14ac:dyDescent="0.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2.75" customHeight="1" x14ac:dyDescent="0.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2.75" customHeight="1" x14ac:dyDescent="0.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2.75" customHeight="1" x14ac:dyDescent="0.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2.75" customHeight="1" x14ac:dyDescent="0.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2.75" customHeight="1" x14ac:dyDescent="0.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2.75" customHeight="1" x14ac:dyDescent="0.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2.75" customHeight="1" x14ac:dyDescent="0.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2.75" customHeight="1" x14ac:dyDescent="0.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2.75" customHeight="1" x14ac:dyDescent="0.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2.75" customHeight="1" x14ac:dyDescent="0.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2.75" customHeight="1" x14ac:dyDescent="0.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2.75" customHeight="1" x14ac:dyDescent="0.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2.75" customHeight="1" x14ac:dyDescent="0.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2.75" customHeight="1" x14ac:dyDescent="0.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2.75" customHeight="1" x14ac:dyDescent="0.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2.75" customHeight="1" x14ac:dyDescent="0.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2.75" customHeight="1" x14ac:dyDescent="0.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2.75" customHeight="1" x14ac:dyDescent="0.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2.75" customHeight="1" x14ac:dyDescent="0.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2.75" customHeight="1" x14ac:dyDescent="0.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2.75" customHeight="1" x14ac:dyDescent="0.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2.75" customHeight="1" x14ac:dyDescent="0.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2.75" customHeight="1" x14ac:dyDescent="0.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2.75" customHeight="1" x14ac:dyDescent="0.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2.75" customHeight="1" x14ac:dyDescent="0.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2.75" customHeight="1" x14ac:dyDescent="0.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2.75" customHeight="1" x14ac:dyDescent="0.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2.75" customHeight="1" x14ac:dyDescent="0.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2.75" customHeight="1" x14ac:dyDescent="0.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2.75" customHeight="1" x14ac:dyDescent="0.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2.75" customHeight="1" x14ac:dyDescent="0.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2.75" customHeight="1" x14ac:dyDescent="0.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2.75" customHeight="1" x14ac:dyDescent="0.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2.75" customHeight="1" x14ac:dyDescent="0.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2.75" customHeight="1" x14ac:dyDescent="0.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2.75" customHeight="1" x14ac:dyDescent="0.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2.75" customHeight="1" x14ac:dyDescent="0.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2.75" customHeight="1" x14ac:dyDescent="0.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2.75" customHeight="1" x14ac:dyDescent="0.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2.75" customHeight="1" x14ac:dyDescent="0.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2.75" customHeight="1" x14ac:dyDescent="0.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2.75" customHeight="1" x14ac:dyDescent="0.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2.75" customHeight="1" x14ac:dyDescent="0.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2.75" customHeight="1" x14ac:dyDescent="0.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2.75" customHeight="1" x14ac:dyDescent="0.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2.75" customHeight="1" x14ac:dyDescent="0.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2.75" customHeight="1" x14ac:dyDescent="0.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2.75" customHeight="1" x14ac:dyDescent="0.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2.75" customHeight="1" x14ac:dyDescent="0.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2.75" customHeight="1" x14ac:dyDescent="0.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2.75" customHeight="1" x14ac:dyDescent="0.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2.75" customHeight="1" x14ac:dyDescent="0.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2.75" customHeight="1" x14ac:dyDescent="0.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2.75" customHeight="1" x14ac:dyDescent="0.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2.75" customHeight="1" x14ac:dyDescent="0.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2.75" customHeight="1" x14ac:dyDescent="0.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2.75" customHeight="1" x14ac:dyDescent="0.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2.75" customHeight="1" x14ac:dyDescent="0.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2.75" customHeight="1" x14ac:dyDescent="0.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2.75" customHeight="1" x14ac:dyDescent="0.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2.75" customHeight="1" x14ac:dyDescent="0.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2.75" customHeight="1" x14ac:dyDescent="0.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2.75" customHeight="1" x14ac:dyDescent="0.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2.75" customHeight="1" x14ac:dyDescent="0.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2.75" customHeight="1" x14ac:dyDescent="0.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2.75" customHeight="1" x14ac:dyDescent="0.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2.75" customHeight="1" x14ac:dyDescent="0.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2.75" customHeight="1" x14ac:dyDescent="0.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2.75" customHeight="1" x14ac:dyDescent="0.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2.75" customHeight="1" x14ac:dyDescent="0.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2.75" customHeight="1" x14ac:dyDescent="0.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2.75" customHeight="1" x14ac:dyDescent="0.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2.75" customHeight="1" x14ac:dyDescent="0.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2.75" customHeight="1" x14ac:dyDescent="0.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2.75" customHeight="1" x14ac:dyDescent="0.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2.75" customHeight="1" x14ac:dyDescent="0.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2.75" customHeight="1" x14ac:dyDescent="0.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2.75" customHeight="1" x14ac:dyDescent="0.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2.75" customHeight="1" x14ac:dyDescent="0.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2.75" customHeight="1" x14ac:dyDescent="0.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2.75" customHeight="1" x14ac:dyDescent="0.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2.75" customHeight="1" x14ac:dyDescent="0.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2.75" customHeight="1" x14ac:dyDescent="0.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2.75" customHeight="1" x14ac:dyDescent="0.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2.75" customHeight="1" x14ac:dyDescent="0.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2.75" customHeight="1" x14ac:dyDescent="0.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2.75" customHeight="1" x14ac:dyDescent="0.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2.75" customHeight="1" x14ac:dyDescent="0.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2.75" customHeight="1" x14ac:dyDescent="0.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2.75" customHeight="1" x14ac:dyDescent="0.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2.75" customHeight="1" x14ac:dyDescent="0.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2.75" customHeight="1" x14ac:dyDescent="0.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2.75" customHeight="1" x14ac:dyDescent="0.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2.75" customHeight="1" x14ac:dyDescent="0.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2.75" customHeight="1" x14ac:dyDescent="0.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2.75" customHeight="1" x14ac:dyDescent="0.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2.75" customHeight="1" x14ac:dyDescent="0.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2.75" customHeight="1" x14ac:dyDescent="0.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2.75" customHeight="1" x14ac:dyDescent="0.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2.75" customHeight="1" x14ac:dyDescent="0.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2.75" customHeight="1" x14ac:dyDescent="0.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2.75" customHeight="1" x14ac:dyDescent="0.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2.75" customHeight="1" x14ac:dyDescent="0.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2.75" customHeight="1" x14ac:dyDescent="0.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2.75" customHeight="1" x14ac:dyDescent="0.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2.75" customHeight="1" x14ac:dyDescent="0.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2.75" customHeight="1" x14ac:dyDescent="0.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2.75" customHeight="1" x14ac:dyDescent="0.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2.75" customHeight="1" x14ac:dyDescent="0.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2.75" customHeight="1" x14ac:dyDescent="0.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2.75" customHeight="1" x14ac:dyDescent="0.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2.75" customHeight="1" x14ac:dyDescent="0.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2.75" customHeight="1" x14ac:dyDescent="0.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2.75" customHeight="1" x14ac:dyDescent="0.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2.75" customHeight="1" x14ac:dyDescent="0.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2.75" customHeight="1" x14ac:dyDescent="0.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2.75" customHeight="1" x14ac:dyDescent="0.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2.75" customHeight="1" x14ac:dyDescent="0.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2.75" customHeight="1" x14ac:dyDescent="0.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2.75" customHeight="1" x14ac:dyDescent="0.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2.75" customHeight="1" x14ac:dyDescent="0.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2.75" customHeight="1" x14ac:dyDescent="0.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2.75" customHeight="1" x14ac:dyDescent="0.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2.75" customHeight="1" x14ac:dyDescent="0.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2.75" customHeight="1" x14ac:dyDescent="0.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2.75" customHeight="1" x14ac:dyDescent="0.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2.75" customHeight="1" x14ac:dyDescent="0.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2.75" customHeight="1" x14ac:dyDescent="0.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2.75" customHeight="1" x14ac:dyDescent="0.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2.75" customHeight="1" x14ac:dyDescent="0.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2.75" customHeight="1" x14ac:dyDescent="0.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2.75" customHeight="1" x14ac:dyDescent="0.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2.75" customHeight="1" x14ac:dyDescent="0.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2.75" customHeight="1" x14ac:dyDescent="0.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2.75" customHeight="1" x14ac:dyDescent="0.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2.75" customHeight="1" x14ac:dyDescent="0.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2.75" customHeight="1" x14ac:dyDescent="0.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2.75" customHeight="1" x14ac:dyDescent="0.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2.75" customHeight="1" x14ac:dyDescent="0.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2.75" customHeight="1" x14ac:dyDescent="0.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2.75" customHeight="1" x14ac:dyDescent="0.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2.75" customHeight="1" x14ac:dyDescent="0.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2.75" customHeight="1" x14ac:dyDescent="0.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2.75" customHeight="1" x14ac:dyDescent="0.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2.75" customHeight="1" x14ac:dyDescent="0.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2.75" customHeight="1" x14ac:dyDescent="0.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2.75" customHeight="1" x14ac:dyDescent="0.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2.75" customHeight="1" x14ac:dyDescent="0.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2.75" customHeight="1" x14ac:dyDescent="0.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2.75" customHeight="1" x14ac:dyDescent="0.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2.75" customHeight="1" x14ac:dyDescent="0.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2.75" customHeight="1" x14ac:dyDescent="0.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2.75" customHeight="1" x14ac:dyDescent="0.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2.75" customHeight="1" x14ac:dyDescent="0.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2.75" customHeight="1" x14ac:dyDescent="0.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2.75" customHeight="1" x14ac:dyDescent="0.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2.75" customHeight="1" x14ac:dyDescent="0.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2.75" customHeight="1" x14ac:dyDescent="0.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2.75" customHeight="1" x14ac:dyDescent="0.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2.75" customHeight="1" x14ac:dyDescent="0.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2.75" customHeight="1" x14ac:dyDescent="0.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2.75" customHeight="1" x14ac:dyDescent="0.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2.75" customHeight="1" x14ac:dyDescent="0.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2.75" customHeight="1" x14ac:dyDescent="0.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2.75" customHeight="1" x14ac:dyDescent="0.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2.75" customHeight="1" x14ac:dyDescent="0.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2.75" customHeight="1" x14ac:dyDescent="0.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2.75" customHeight="1" x14ac:dyDescent="0.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2.75" customHeight="1" x14ac:dyDescent="0.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2.75" customHeight="1" x14ac:dyDescent="0.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2.75" customHeight="1" x14ac:dyDescent="0.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2.75" customHeight="1" x14ac:dyDescent="0.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2.75" customHeight="1" x14ac:dyDescent="0.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2.75" customHeight="1" x14ac:dyDescent="0.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2.75" customHeight="1" x14ac:dyDescent="0.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2.75" customHeight="1" x14ac:dyDescent="0.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2.75" customHeight="1" x14ac:dyDescent="0.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2.75" customHeight="1" x14ac:dyDescent="0.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2.75" customHeight="1" x14ac:dyDescent="0.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2.75" customHeight="1" x14ac:dyDescent="0.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2.75" customHeight="1" x14ac:dyDescent="0.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2.75" customHeight="1" x14ac:dyDescent="0.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2.75" customHeight="1" x14ac:dyDescent="0.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2.75" customHeight="1" x14ac:dyDescent="0.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2.75" customHeight="1" x14ac:dyDescent="0.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2.75" customHeight="1" x14ac:dyDescent="0.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2.75" customHeight="1" x14ac:dyDescent="0.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2.75" customHeight="1" x14ac:dyDescent="0.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2.75" customHeight="1" x14ac:dyDescent="0.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2.75" customHeight="1" x14ac:dyDescent="0.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2.75" customHeight="1" x14ac:dyDescent="0.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2.75" customHeight="1" x14ac:dyDescent="0.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2.75" customHeight="1" x14ac:dyDescent="0.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2.75" customHeight="1" x14ac:dyDescent="0.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2.75" customHeight="1" x14ac:dyDescent="0.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2.75" customHeight="1" x14ac:dyDescent="0.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2.75" customHeight="1" x14ac:dyDescent="0.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2.75" customHeight="1" x14ac:dyDescent="0.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2.75" customHeight="1" x14ac:dyDescent="0.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2.75" customHeight="1" x14ac:dyDescent="0.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2.75" customHeight="1" x14ac:dyDescent="0.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2.75" customHeight="1" x14ac:dyDescent="0.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2.75" customHeight="1" x14ac:dyDescent="0.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2.75" customHeight="1" x14ac:dyDescent="0.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2.75" customHeight="1" x14ac:dyDescent="0.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2.75" customHeight="1" x14ac:dyDescent="0.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2.75" customHeight="1" x14ac:dyDescent="0.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2.75" customHeight="1" x14ac:dyDescent="0.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2.75" customHeight="1" x14ac:dyDescent="0.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2.75" customHeight="1" x14ac:dyDescent="0.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2.75" customHeight="1" x14ac:dyDescent="0.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2.75" customHeight="1" x14ac:dyDescent="0.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2.75" customHeight="1" x14ac:dyDescent="0.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2.75" customHeight="1" x14ac:dyDescent="0.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2.75" customHeight="1" x14ac:dyDescent="0.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2.75" customHeight="1" x14ac:dyDescent="0.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2.75" customHeight="1" x14ac:dyDescent="0.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2.75" customHeight="1" x14ac:dyDescent="0.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2.75" customHeight="1" x14ac:dyDescent="0.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2.75" customHeight="1" x14ac:dyDescent="0.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2.75" customHeight="1" x14ac:dyDescent="0.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2.75" customHeight="1" x14ac:dyDescent="0.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2.75" customHeight="1" x14ac:dyDescent="0.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2.75" customHeight="1" x14ac:dyDescent="0.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2.75" customHeight="1" x14ac:dyDescent="0.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2.75" customHeight="1" x14ac:dyDescent="0.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2.75" customHeight="1" x14ac:dyDescent="0.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2.75" customHeight="1" x14ac:dyDescent="0.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2.75" customHeight="1" x14ac:dyDescent="0.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2.75" customHeight="1" x14ac:dyDescent="0.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2.75" customHeight="1" x14ac:dyDescent="0.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2.75" customHeight="1" x14ac:dyDescent="0.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2.75" customHeight="1" x14ac:dyDescent="0.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2.75" customHeight="1" x14ac:dyDescent="0.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2.75" customHeight="1" x14ac:dyDescent="0.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2.75" customHeight="1" x14ac:dyDescent="0.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2.75" customHeight="1" x14ac:dyDescent="0.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2.75" customHeight="1" x14ac:dyDescent="0.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2.75" customHeight="1" x14ac:dyDescent="0.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2.75" customHeight="1" x14ac:dyDescent="0.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2.75" customHeight="1" x14ac:dyDescent="0.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2.75" customHeight="1" x14ac:dyDescent="0.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2.75" customHeight="1" x14ac:dyDescent="0.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2.75" customHeight="1" x14ac:dyDescent="0.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2.75" customHeight="1" x14ac:dyDescent="0.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2.75" customHeight="1" x14ac:dyDescent="0.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2.75" customHeight="1" x14ac:dyDescent="0.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2.75" customHeight="1" x14ac:dyDescent="0.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2.75" customHeight="1" x14ac:dyDescent="0.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2.75" customHeight="1" x14ac:dyDescent="0.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2.75" customHeight="1" x14ac:dyDescent="0.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2.75" customHeight="1" x14ac:dyDescent="0.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2.75" customHeight="1" x14ac:dyDescent="0.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2.75" customHeight="1" x14ac:dyDescent="0.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2.75" customHeight="1" x14ac:dyDescent="0.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2.75" customHeight="1" x14ac:dyDescent="0.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2.75" customHeight="1" x14ac:dyDescent="0.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2.75" customHeight="1" x14ac:dyDescent="0.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2.75" customHeight="1" x14ac:dyDescent="0.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2.75" customHeight="1" x14ac:dyDescent="0.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2.75" customHeight="1" x14ac:dyDescent="0.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2.75" customHeight="1" x14ac:dyDescent="0.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2.75" customHeight="1" x14ac:dyDescent="0.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2.75" customHeight="1" x14ac:dyDescent="0.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2.75" customHeight="1" x14ac:dyDescent="0.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2.75" customHeight="1" x14ac:dyDescent="0.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2.75" customHeight="1" x14ac:dyDescent="0.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2.75" customHeight="1" x14ac:dyDescent="0.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2.75" customHeight="1" x14ac:dyDescent="0.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2.75" customHeight="1" x14ac:dyDescent="0.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2.75" customHeight="1" x14ac:dyDescent="0.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2.75" customHeight="1" x14ac:dyDescent="0.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2.75" customHeight="1" x14ac:dyDescent="0.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2.75" customHeight="1" x14ac:dyDescent="0.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2.75" customHeight="1" x14ac:dyDescent="0.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2.75" customHeight="1" x14ac:dyDescent="0.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2.75" customHeight="1" x14ac:dyDescent="0.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2.75" customHeight="1" x14ac:dyDescent="0.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2.75" customHeight="1" x14ac:dyDescent="0.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2.75" customHeight="1" x14ac:dyDescent="0.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2.75" customHeight="1" x14ac:dyDescent="0.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2.75" customHeight="1" x14ac:dyDescent="0.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2.75" customHeight="1" x14ac:dyDescent="0.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2.75" customHeight="1" x14ac:dyDescent="0.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2.75" customHeight="1" x14ac:dyDescent="0.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2.75" customHeight="1" x14ac:dyDescent="0.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2.75" customHeight="1" x14ac:dyDescent="0.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2.75" customHeight="1" x14ac:dyDescent="0.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2.75" customHeight="1" x14ac:dyDescent="0.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2.75" customHeight="1" x14ac:dyDescent="0.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2.75" customHeight="1" x14ac:dyDescent="0.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2.75" customHeight="1" x14ac:dyDescent="0.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2.75" customHeight="1" x14ac:dyDescent="0.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2.75" customHeight="1" x14ac:dyDescent="0.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2.75" customHeight="1" x14ac:dyDescent="0.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2.75" customHeight="1" x14ac:dyDescent="0.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2.75" customHeight="1" x14ac:dyDescent="0.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2.75" customHeight="1" x14ac:dyDescent="0.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2.75" customHeight="1" x14ac:dyDescent="0.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2.75" customHeight="1" x14ac:dyDescent="0.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2.75" customHeight="1" x14ac:dyDescent="0.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2.75" customHeight="1" x14ac:dyDescent="0.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2.75" customHeight="1" x14ac:dyDescent="0.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2.75" customHeight="1" x14ac:dyDescent="0.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2.75" customHeight="1" x14ac:dyDescent="0.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2.75" customHeight="1" x14ac:dyDescent="0.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2.75" customHeight="1" x14ac:dyDescent="0.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2.75" customHeight="1" x14ac:dyDescent="0.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2.75" customHeight="1" x14ac:dyDescent="0.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2.75" customHeight="1" x14ac:dyDescent="0.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2.75" customHeight="1" x14ac:dyDescent="0.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2.75" customHeight="1" x14ac:dyDescent="0.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2.75" customHeight="1" x14ac:dyDescent="0.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2.75" customHeight="1" x14ac:dyDescent="0.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2.75" customHeight="1" x14ac:dyDescent="0.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2.75" customHeight="1" x14ac:dyDescent="0.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2.75" customHeight="1" x14ac:dyDescent="0.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2.75" customHeight="1" x14ac:dyDescent="0.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2.75" customHeight="1" x14ac:dyDescent="0.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2.75" customHeight="1" x14ac:dyDescent="0.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2.75" customHeight="1" x14ac:dyDescent="0.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2.75" customHeight="1" x14ac:dyDescent="0.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2.75" customHeight="1" x14ac:dyDescent="0.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2.75" customHeight="1" x14ac:dyDescent="0.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2.75" customHeight="1" x14ac:dyDescent="0.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2.75" customHeight="1" x14ac:dyDescent="0.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2.75" customHeight="1" x14ac:dyDescent="0.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2.75" customHeight="1" x14ac:dyDescent="0.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2.75" customHeight="1" x14ac:dyDescent="0.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2.75" customHeight="1" x14ac:dyDescent="0.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2.75" customHeight="1" x14ac:dyDescent="0.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2.75" customHeight="1" x14ac:dyDescent="0.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2.75" customHeight="1" x14ac:dyDescent="0.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2.75" customHeight="1" x14ac:dyDescent="0.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2.75" customHeight="1" x14ac:dyDescent="0.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2.75" customHeight="1" x14ac:dyDescent="0.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2.75" customHeight="1" x14ac:dyDescent="0.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2.75" customHeight="1" x14ac:dyDescent="0.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2.75" customHeight="1" x14ac:dyDescent="0.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2.75" customHeight="1" x14ac:dyDescent="0.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2.75" customHeight="1" x14ac:dyDescent="0.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2.75" customHeight="1" x14ac:dyDescent="0.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2.75" customHeight="1" x14ac:dyDescent="0.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2.75" customHeight="1" x14ac:dyDescent="0.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2.75" customHeight="1" x14ac:dyDescent="0.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2.75" customHeight="1" x14ac:dyDescent="0.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2.75" customHeight="1" x14ac:dyDescent="0.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2.75" customHeight="1" x14ac:dyDescent="0.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2.75" customHeight="1" x14ac:dyDescent="0.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2.75" customHeight="1" x14ac:dyDescent="0.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2.75" customHeight="1" x14ac:dyDescent="0.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2.75" customHeight="1" x14ac:dyDescent="0.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2.75" customHeight="1" x14ac:dyDescent="0.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2.75" customHeight="1" x14ac:dyDescent="0.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2.75" customHeight="1" x14ac:dyDescent="0.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2.75" customHeight="1" x14ac:dyDescent="0.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2.75" customHeight="1" x14ac:dyDescent="0.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2.75" customHeight="1" x14ac:dyDescent="0.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2.75" customHeight="1" x14ac:dyDescent="0.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2.75" customHeight="1" x14ac:dyDescent="0.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2.75" customHeight="1" x14ac:dyDescent="0.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2.75" customHeight="1" x14ac:dyDescent="0.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2.75" customHeight="1" x14ac:dyDescent="0.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2.75" customHeight="1" x14ac:dyDescent="0.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2.75" customHeight="1" x14ac:dyDescent="0.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2.75" customHeight="1" x14ac:dyDescent="0.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2.75" customHeight="1" x14ac:dyDescent="0.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2.75" customHeight="1" x14ac:dyDescent="0.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2.75" customHeight="1" x14ac:dyDescent="0.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2.75" customHeight="1" x14ac:dyDescent="0.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2.75" customHeight="1" x14ac:dyDescent="0.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2.75" customHeight="1" x14ac:dyDescent="0.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2.75" customHeight="1" x14ac:dyDescent="0.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2.75" customHeight="1" x14ac:dyDescent="0.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2.75" customHeight="1" x14ac:dyDescent="0.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2.75" customHeight="1" x14ac:dyDescent="0.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2.75" customHeight="1" x14ac:dyDescent="0.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2.75" customHeight="1" x14ac:dyDescent="0.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2.75" customHeight="1" x14ac:dyDescent="0.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2.75" customHeight="1" x14ac:dyDescent="0.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2.75" customHeight="1" x14ac:dyDescent="0.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2.75" customHeight="1" x14ac:dyDescent="0.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2.75" customHeight="1" x14ac:dyDescent="0.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2.75" customHeight="1" x14ac:dyDescent="0.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2.75" customHeight="1" x14ac:dyDescent="0.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2.75" customHeight="1" x14ac:dyDescent="0.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2.75" customHeight="1" x14ac:dyDescent="0.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2.75" customHeight="1" x14ac:dyDescent="0.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2.75" customHeight="1" x14ac:dyDescent="0.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2.75" customHeight="1" x14ac:dyDescent="0.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2.75" customHeight="1" x14ac:dyDescent="0.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2.75" customHeight="1" x14ac:dyDescent="0.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2.75" customHeight="1" x14ac:dyDescent="0.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2.75" customHeight="1" x14ac:dyDescent="0.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2.75" customHeight="1" x14ac:dyDescent="0.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2.75" customHeight="1" x14ac:dyDescent="0.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2.75" customHeight="1" x14ac:dyDescent="0.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2.75" customHeight="1" x14ac:dyDescent="0.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2.75" customHeight="1" x14ac:dyDescent="0.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2.75" customHeight="1" x14ac:dyDescent="0.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2.75" customHeight="1" x14ac:dyDescent="0.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2.75" customHeight="1" x14ac:dyDescent="0.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2.75" customHeight="1" x14ac:dyDescent="0.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2.75" customHeight="1" x14ac:dyDescent="0.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2.75" customHeight="1" x14ac:dyDescent="0.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2.75" customHeight="1" x14ac:dyDescent="0.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2.75" customHeight="1" x14ac:dyDescent="0.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2.75" customHeight="1" x14ac:dyDescent="0.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2.75" customHeight="1" x14ac:dyDescent="0.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2.75" customHeight="1" x14ac:dyDescent="0.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2.75" customHeight="1" x14ac:dyDescent="0.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2.75" customHeight="1" x14ac:dyDescent="0.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2.75" customHeight="1" x14ac:dyDescent="0.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2.75" customHeight="1" x14ac:dyDescent="0.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2.75" customHeight="1" x14ac:dyDescent="0.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2.75" customHeight="1" x14ac:dyDescent="0.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2.75" customHeight="1" x14ac:dyDescent="0.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2.75" customHeight="1" x14ac:dyDescent="0.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2.75" customHeight="1" x14ac:dyDescent="0.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2.75" customHeight="1" x14ac:dyDescent="0.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2.75" customHeight="1" x14ac:dyDescent="0.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2.75" customHeight="1" x14ac:dyDescent="0.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2.75" customHeight="1" x14ac:dyDescent="0.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2.75" customHeight="1" x14ac:dyDescent="0.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2.75" customHeight="1" x14ac:dyDescent="0.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2.75" customHeight="1" x14ac:dyDescent="0.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2.75" customHeight="1" x14ac:dyDescent="0.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2.75" customHeight="1" x14ac:dyDescent="0.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2.75" customHeight="1" x14ac:dyDescent="0.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2.75" customHeight="1" x14ac:dyDescent="0.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2.75" customHeight="1" x14ac:dyDescent="0.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2.75" customHeight="1" x14ac:dyDescent="0.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2.75" customHeight="1" x14ac:dyDescent="0.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2.75" customHeight="1" x14ac:dyDescent="0.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2.75" customHeight="1" x14ac:dyDescent="0.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2.75" customHeight="1" x14ac:dyDescent="0.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2.75" customHeight="1" x14ac:dyDescent="0.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2.75" customHeight="1" x14ac:dyDescent="0.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2.75" customHeight="1" x14ac:dyDescent="0.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2.75" customHeight="1" x14ac:dyDescent="0.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2.75" customHeight="1" x14ac:dyDescent="0.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2.75" customHeight="1" x14ac:dyDescent="0.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2.75" customHeight="1" x14ac:dyDescent="0.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2.75" customHeight="1" x14ac:dyDescent="0.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2.75" customHeight="1" x14ac:dyDescent="0.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2.75" customHeight="1" x14ac:dyDescent="0.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2.75" customHeight="1" x14ac:dyDescent="0.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2.75" customHeight="1" x14ac:dyDescent="0.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2.75" customHeight="1" x14ac:dyDescent="0.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2.75" customHeight="1" x14ac:dyDescent="0.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2.75" customHeight="1" x14ac:dyDescent="0.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2.75" customHeight="1" x14ac:dyDescent="0.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2.75" customHeight="1" x14ac:dyDescent="0.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2.75" customHeight="1" x14ac:dyDescent="0.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2.75" customHeight="1" x14ac:dyDescent="0.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2.75" customHeight="1" x14ac:dyDescent="0.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2.75" customHeight="1" x14ac:dyDescent="0.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2.75" customHeight="1" x14ac:dyDescent="0.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2.75" customHeight="1" x14ac:dyDescent="0.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2.75" customHeight="1" x14ac:dyDescent="0.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2.75" customHeight="1" x14ac:dyDescent="0.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2.75" customHeight="1" x14ac:dyDescent="0.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2.75" customHeight="1" x14ac:dyDescent="0.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2.75" customHeight="1" x14ac:dyDescent="0.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2.75" customHeight="1" x14ac:dyDescent="0.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2.75" customHeight="1" x14ac:dyDescent="0.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2.75" customHeight="1" x14ac:dyDescent="0.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2.75" customHeight="1" x14ac:dyDescent="0.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2.75" customHeight="1" x14ac:dyDescent="0.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2.75" customHeight="1" x14ac:dyDescent="0.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2.75" customHeight="1" x14ac:dyDescent="0.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2.75" customHeight="1" x14ac:dyDescent="0.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2.75" customHeight="1" x14ac:dyDescent="0.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2.75" customHeight="1" x14ac:dyDescent="0.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2.75" customHeight="1" x14ac:dyDescent="0.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2.75" customHeight="1" x14ac:dyDescent="0.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2.75" customHeight="1" x14ac:dyDescent="0.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2.75" customHeight="1" x14ac:dyDescent="0.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2.75" customHeight="1" x14ac:dyDescent="0.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2.75" customHeight="1" x14ac:dyDescent="0.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2.75" customHeight="1" x14ac:dyDescent="0.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2.75" customHeight="1" x14ac:dyDescent="0.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2.75" customHeight="1" x14ac:dyDescent="0.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2.75" customHeight="1" x14ac:dyDescent="0.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2.75" customHeight="1" x14ac:dyDescent="0.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2.75" customHeight="1" x14ac:dyDescent="0.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2.75" customHeight="1" x14ac:dyDescent="0.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2.75" customHeight="1" x14ac:dyDescent="0.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2.75" customHeight="1" x14ac:dyDescent="0.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2.75" customHeight="1" x14ac:dyDescent="0.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2.75" customHeight="1" x14ac:dyDescent="0.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2.75" customHeight="1" x14ac:dyDescent="0.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2.75" customHeight="1" x14ac:dyDescent="0.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2.75" customHeight="1" x14ac:dyDescent="0.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2.75" customHeight="1" x14ac:dyDescent="0.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2.75" customHeight="1" x14ac:dyDescent="0.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2.75" customHeight="1" x14ac:dyDescent="0.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2.75" customHeight="1" x14ac:dyDescent="0.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2.75" customHeight="1" x14ac:dyDescent="0.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2.75" customHeight="1" x14ac:dyDescent="0.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2.75" customHeight="1" x14ac:dyDescent="0.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2.75" customHeight="1" x14ac:dyDescent="0.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2.75" customHeight="1" x14ac:dyDescent="0.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2.75" customHeight="1" x14ac:dyDescent="0.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2.75" customHeight="1" x14ac:dyDescent="0.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2.75" customHeight="1" x14ac:dyDescent="0.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2.75" customHeight="1" x14ac:dyDescent="0.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2.75" customHeight="1" x14ac:dyDescent="0.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2.75" customHeight="1" x14ac:dyDescent="0.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2.75" customHeight="1" x14ac:dyDescent="0.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2.75" customHeight="1" x14ac:dyDescent="0.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2.75" customHeight="1" x14ac:dyDescent="0.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2.75" customHeight="1" x14ac:dyDescent="0.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2.75" customHeight="1" x14ac:dyDescent="0.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2.75" customHeight="1" x14ac:dyDescent="0.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2.75" customHeight="1" x14ac:dyDescent="0.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2.75" customHeight="1" x14ac:dyDescent="0.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2.75" customHeight="1" x14ac:dyDescent="0.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2.75" customHeight="1" x14ac:dyDescent="0.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2.75" customHeight="1" x14ac:dyDescent="0.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2.75" customHeight="1" x14ac:dyDescent="0.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2.75" customHeight="1" x14ac:dyDescent="0.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2.75" customHeight="1" x14ac:dyDescent="0.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2.75" customHeight="1" x14ac:dyDescent="0.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2.75" customHeight="1" x14ac:dyDescent="0.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2.75" customHeight="1" x14ac:dyDescent="0.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2.75" customHeight="1" x14ac:dyDescent="0.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2.75" customHeight="1" x14ac:dyDescent="0.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2.75" customHeight="1" x14ac:dyDescent="0.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2.75" customHeight="1" x14ac:dyDescent="0.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2.75" customHeight="1" x14ac:dyDescent="0.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2.75" customHeight="1" x14ac:dyDescent="0.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2.75" customHeight="1" x14ac:dyDescent="0.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2.75" customHeight="1" x14ac:dyDescent="0.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2.75" customHeight="1" x14ac:dyDescent="0.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2.75" customHeight="1" x14ac:dyDescent="0.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2.75" customHeight="1" x14ac:dyDescent="0.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2.75" customHeight="1" x14ac:dyDescent="0.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2.75" customHeight="1" x14ac:dyDescent="0.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2.75" customHeight="1" x14ac:dyDescent="0.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2.75" customHeight="1" x14ac:dyDescent="0.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2.75" customHeight="1" x14ac:dyDescent="0.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2.75" customHeight="1" x14ac:dyDescent="0.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2.75" customHeight="1" x14ac:dyDescent="0.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2.75" customHeight="1" x14ac:dyDescent="0.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2.75" customHeight="1" x14ac:dyDescent="0.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2.75" customHeight="1" x14ac:dyDescent="0.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2.75" customHeight="1" x14ac:dyDescent="0.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2.75" customHeight="1" x14ac:dyDescent="0.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2.75" customHeight="1" x14ac:dyDescent="0.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2.75" customHeight="1" x14ac:dyDescent="0.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2.75" customHeight="1" x14ac:dyDescent="0.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2.75" customHeight="1" x14ac:dyDescent="0.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2.75" customHeight="1" x14ac:dyDescent="0.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2.75" customHeight="1" x14ac:dyDescent="0.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2.75" customHeight="1" x14ac:dyDescent="0.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2.75" customHeight="1" x14ac:dyDescent="0.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2.75" customHeight="1" x14ac:dyDescent="0.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2.75" customHeight="1" x14ac:dyDescent="0.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2.75" customHeight="1" x14ac:dyDescent="0.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2.75" customHeight="1" x14ac:dyDescent="0.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2.75" customHeight="1" x14ac:dyDescent="0.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2.75" customHeight="1" x14ac:dyDescent="0.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2.75" customHeight="1" x14ac:dyDescent="0.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2.75" customHeight="1" x14ac:dyDescent="0.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2.75" customHeight="1" x14ac:dyDescent="0.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2.75" customHeight="1" x14ac:dyDescent="0.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2.75" customHeight="1" x14ac:dyDescent="0.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2.75" customHeight="1" x14ac:dyDescent="0.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2.75" customHeight="1" x14ac:dyDescent="0.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2.75" customHeight="1" x14ac:dyDescent="0.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2.75" customHeight="1" x14ac:dyDescent="0.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2.75" customHeight="1" x14ac:dyDescent="0.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2.75" customHeight="1" x14ac:dyDescent="0.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2.75" customHeight="1" x14ac:dyDescent="0.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2.75" customHeight="1" x14ac:dyDescent="0.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2.75" customHeight="1" x14ac:dyDescent="0.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2.75" customHeight="1" x14ac:dyDescent="0.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2.75" customHeight="1" x14ac:dyDescent="0.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2.75" customHeight="1" x14ac:dyDescent="0.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2.75" customHeight="1" x14ac:dyDescent="0.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2.75" customHeight="1" x14ac:dyDescent="0.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2.75" customHeight="1" x14ac:dyDescent="0.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2.75" customHeight="1" x14ac:dyDescent="0.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2.75" customHeight="1" x14ac:dyDescent="0.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2.75" customHeight="1" x14ac:dyDescent="0.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2.75" customHeight="1" x14ac:dyDescent="0.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2.75" customHeight="1" x14ac:dyDescent="0.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2.75" customHeight="1" x14ac:dyDescent="0.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2.75" customHeight="1" x14ac:dyDescent="0.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2.75" customHeight="1" x14ac:dyDescent="0.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2.75" customHeight="1" x14ac:dyDescent="0.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2.75" customHeight="1" x14ac:dyDescent="0.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2.75" customHeight="1" x14ac:dyDescent="0.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2.75" customHeight="1" x14ac:dyDescent="0.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2.75" customHeight="1" x14ac:dyDescent="0.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2.75" customHeight="1" x14ac:dyDescent="0.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2.75" customHeight="1" x14ac:dyDescent="0.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2.75" customHeight="1" x14ac:dyDescent="0.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2.75" customHeight="1" x14ac:dyDescent="0.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2.75" customHeight="1" x14ac:dyDescent="0.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2.75" customHeight="1" x14ac:dyDescent="0.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2.75" customHeight="1" x14ac:dyDescent="0.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2.75" customHeight="1" x14ac:dyDescent="0.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2.75" customHeight="1" x14ac:dyDescent="0.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2.75" customHeight="1" x14ac:dyDescent="0.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2.75" customHeight="1" x14ac:dyDescent="0.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2.75" customHeight="1" x14ac:dyDescent="0.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2.75" customHeight="1" x14ac:dyDescent="0.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2.75" customHeight="1" x14ac:dyDescent="0.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2.75" customHeight="1" x14ac:dyDescent="0.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2.75" customHeight="1" x14ac:dyDescent="0.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2.75" customHeight="1" x14ac:dyDescent="0.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2.75" customHeight="1" x14ac:dyDescent="0.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2.75" customHeight="1" x14ac:dyDescent="0.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2.75" customHeight="1" x14ac:dyDescent="0.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2.75" customHeight="1" x14ac:dyDescent="0.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2.75" customHeight="1" x14ac:dyDescent="0.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2.75" customHeight="1" x14ac:dyDescent="0.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2.75" customHeight="1" x14ac:dyDescent="0.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2.75" customHeight="1" x14ac:dyDescent="0.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2.75" customHeight="1" x14ac:dyDescent="0.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2.75" customHeight="1" x14ac:dyDescent="0.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2.75" customHeight="1" x14ac:dyDescent="0.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2.75" customHeight="1" x14ac:dyDescent="0.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2.75" customHeight="1" x14ac:dyDescent="0.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2.75" customHeight="1" x14ac:dyDescent="0.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2.75" customHeight="1" x14ac:dyDescent="0.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2.75" customHeight="1" x14ac:dyDescent="0.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2.75" customHeight="1" x14ac:dyDescent="0.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2.75" customHeight="1" x14ac:dyDescent="0.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2.75" customHeight="1" x14ac:dyDescent="0.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2.75" customHeight="1" x14ac:dyDescent="0.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2.75" customHeight="1" x14ac:dyDescent="0.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2.75" customHeight="1" x14ac:dyDescent="0.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2.75" customHeight="1" x14ac:dyDescent="0.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2.75" customHeight="1" x14ac:dyDescent="0.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2.75" customHeight="1" x14ac:dyDescent="0.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2.75" customHeight="1" x14ac:dyDescent="0.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2.75" customHeight="1" x14ac:dyDescent="0.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2.75" customHeight="1" x14ac:dyDescent="0.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2.75" customHeight="1" x14ac:dyDescent="0.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2.75" customHeight="1" x14ac:dyDescent="0.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2.75" customHeight="1" x14ac:dyDescent="0.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2.75" customHeight="1" x14ac:dyDescent="0.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2.75" customHeight="1" x14ac:dyDescent="0.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2.75" customHeight="1" x14ac:dyDescent="0.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2.75" customHeight="1" x14ac:dyDescent="0.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2.75" customHeight="1" x14ac:dyDescent="0.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2.75" customHeight="1" x14ac:dyDescent="0.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2.75" customHeight="1" x14ac:dyDescent="0.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2.75" customHeight="1" x14ac:dyDescent="0.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2.75" customHeight="1" x14ac:dyDescent="0.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2.75" customHeight="1" x14ac:dyDescent="0.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2.75" customHeight="1" x14ac:dyDescent="0.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2.75" customHeight="1" x14ac:dyDescent="0.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2.75" customHeight="1" x14ac:dyDescent="0.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2.75" customHeight="1" x14ac:dyDescent="0.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2.75" customHeight="1" x14ac:dyDescent="0.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2.75" customHeight="1" x14ac:dyDescent="0.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2.75" customHeight="1" x14ac:dyDescent="0.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2.75" customHeight="1" x14ac:dyDescent="0.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2.75" customHeight="1" x14ac:dyDescent="0.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2.75" customHeight="1" x14ac:dyDescent="0.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2.75" customHeight="1" x14ac:dyDescent="0.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2.75" customHeight="1" x14ac:dyDescent="0.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2.75" customHeight="1" x14ac:dyDescent="0.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2.75" customHeight="1" x14ac:dyDescent="0.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2.75" customHeight="1" x14ac:dyDescent="0.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2.75" customHeight="1" x14ac:dyDescent="0.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2.75" customHeight="1" x14ac:dyDescent="0.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2.75" customHeight="1" x14ac:dyDescent="0.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2.75" customHeight="1" x14ac:dyDescent="0.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2.75" customHeight="1" x14ac:dyDescent="0.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2.75" customHeight="1" x14ac:dyDescent="0.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2.75" customHeight="1" x14ac:dyDescent="0.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2.75" customHeight="1" x14ac:dyDescent="0.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2.75" customHeight="1" x14ac:dyDescent="0.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2.75" customHeight="1" x14ac:dyDescent="0.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2.75" customHeight="1" x14ac:dyDescent="0.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2.75" customHeight="1" x14ac:dyDescent="0.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2.75" customHeight="1" x14ac:dyDescent="0.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2.75" customHeight="1" x14ac:dyDescent="0.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2.75" customHeight="1" x14ac:dyDescent="0.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2.75" customHeight="1" x14ac:dyDescent="0.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2.75" customHeight="1" x14ac:dyDescent="0.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2.75" customHeight="1" x14ac:dyDescent="0.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2.75" customHeight="1" x14ac:dyDescent="0.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2.75" customHeight="1" x14ac:dyDescent="0.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2.75" customHeight="1" x14ac:dyDescent="0.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2.75" customHeight="1" x14ac:dyDescent="0.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2.75" customHeight="1" x14ac:dyDescent="0.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2.75" customHeight="1" x14ac:dyDescent="0.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2.75" customHeight="1" x14ac:dyDescent="0.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2.75" customHeight="1" x14ac:dyDescent="0.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2.75" customHeight="1" x14ac:dyDescent="0.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2.75" customHeight="1" x14ac:dyDescent="0.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2.75" customHeight="1" x14ac:dyDescent="0.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2.75" customHeight="1" x14ac:dyDescent="0.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2.75" customHeight="1" x14ac:dyDescent="0.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2.75" customHeight="1" x14ac:dyDescent="0.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2.75" customHeight="1" x14ac:dyDescent="0.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2.75" customHeight="1" x14ac:dyDescent="0.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2.75" customHeight="1" x14ac:dyDescent="0.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2.75" customHeight="1" x14ac:dyDescent="0.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2.75" customHeight="1" x14ac:dyDescent="0.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2.75" customHeight="1" x14ac:dyDescent="0.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2.75" customHeight="1" x14ac:dyDescent="0.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2.75" customHeight="1" x14ac:dyDescent="0.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2.75" customHeight="1" x14ac:dyDescent="0.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2.75" customHeight="1" x14ac:dyDescent="0.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2.75" customHeight="1" x14ac:dyDescent="0.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2.75" customHeight="1" x14ac:dyDescent="0.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2.75" customHeight="1" x14ac:dyDescent="0.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2.75" customHeight="1" x14ac:dyDescent="0.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2.75" customHeight="1" x14ac:dyDescent="0.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2.75" customHeight="1" x14ac:dyDescent="0.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2.75" customHeight="1" x14ac:dyDescent="0.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2.75" customHeight="1" x14ac:dyDescent="0.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2.75" customHeight="1" x14ac:dyDescent="0.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2.75" customHeight="1" x14ac:dyDescent="0.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2.75" customHeight="1" x14ac:dyDescent="0.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2.75" customHeight="1" x14ac:dyDescent="0.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2.75" customHeight="1" x14ac:dyDescent="0.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2.75" customHeight="1" x14ac:dyDescent="0.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2.75" customHeight="1" x14ac:dyDescent="0.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2.75" customHeight="1" x14ac:dyDescent="0.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2.75" customHeight="1" x14ac:dyDescent="0.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2.75" customHeight="1" x14ac:dyDescent="0.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2.75" customHeight="1" x14ac:dyDescent="0.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2.75" customHeight="1" x14ac:dyDescent="0.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2.75" customHeight="1" x14ac:dyDescent="0.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2.75" customHeight="1" x14ac:dyDescent="0.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2.75" customHeight="1" x14ac:dyDescent="0.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</sheetData>
  <mergeCells count="2">
    <mergeCell ref="A2:D2"/>
    <mergeCell ref="A3:D3"/>
  </mergeCells>
  <pageMargins left="0.75" right="0.75" top="1" bottom="1" header="0" footer="0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O1003"/>
  <sheetViews>
    <sheetView topLeftCell="G17" zoomScale="111" zoomScaleNormal="58" workbookViewId="0">
      <selection activeCell="P4" sqref="P4"/>
    </sheetView>
  </sheetViews>
  <sheetFormatPr defaultColWidth="14.44140625" defaultRowHeight="15" customHeight="1" x14ac:dyDescent="0.4"/>
  <cols>
    <col min="1" max="1" width="9.5546875" customWidth="1"/>
    <col min="2" max="26" width="8.71875" customWidth="1"/>
  </cols>
  <sheetData>
    <row r="1" spans="1:15" ht="12" customHeight="1" x14ac:dyDescent="0.4"/>
    <row r="2" spans="1:15" ht="12" customHeight="1" x14ac:dyDescent="0.4">
      <c r="A2" s="44" t="s">
        <v>41</v>
      </c>
      <c r="B2" s="44"/>
      <c r="C2" s="44"/>
      <c r="D2" s="44"/>
    </row>
    <row r="3" spans="1:15" ht="12" customHeight="1" x14ac:dyDescent="0.4"/>
    <row r="4" spans="1:15" ht="12" customHeight="1" x14ac:dyDescent="0.4"/>
    <row r="5" spans="1:15" ht="12" customHeight="1" x14ac:dyDescent="0.55000000000000004">
      <c r="A5" s="4" t="s">
        <v>42</v>
      </c>
      <c r="J5" s="104" t="s">
        <v>43</v>
      </c>
      <c r="K5" s="97"/>
      <c r="L5" s="97"/>
      <c r="M5" s="97"/>
      <c r="N5" s="97"/>
      <c r="O5" s="97"/>
    </row>
    <row r="6" spans="1:15" ht="12" customHeight="1" x14ac:dyDescent="0.4"/>
    <row r="7" spans="1:15" ht="12" customHeight="1" x14ac:dyDescent="0.4">
      <c r="A7" s="45"/>
      <c r="B7" s="46" t="s">
        <v>26</v>
      </c>
    </row>
    <row r="8" spans="1:15" ht="12" customHeight="1" x14ac:dyDescent="0.4">
      <c r="A8" s="47" t="s">
        <v>13</v>
      </c>
      <c r="B8" s="48">
        <v>500</v>
      </c>
    </row>
    <row r="9" spans="1:15" ht="12" customHeight="1" x14ac:dyDescent="0.4">
      <c r="A9" s="47" t="s">
        <v>14</v>
      </c>
      <c r="B9" s="48">
        <v>550</v>
      </c>
    </row>
    <row r="10" spans="1:15" ht="12" customHeight="1" x14ac:dyDescent="0.4">
      <c r="A10" s="49" t="s">
        <v>15</v>
      </c>
      <c r="B10" s="50">
        <v>650</v>
      </c>
    </row>
    <row r="11" spans="1:15" ht="12" customHeight="1" x14ac:dyDescent="0.4"/>
    <row r="12" spans="1:15" ht="12" customHeight="1" x14ac:dyDescent="0.4"/>
    <row r="13" spans="1:15" ht="12" customHeight="1" x14ac:dyDescent="0.4"/>
    <row r="14" spans="1:15" s="75" customFormat="1" ht="12" customHeight="1" x14ac:dyDescent="0.4"/>
    <row r="15" spans="1:15" ht="12" customHeight="1" x14ac:dyDescent="0.4"/>
    <row r="16" spans="1:15" ht="12" customHeight="1" x14ac:dyDescent="0.55000000000000004">
      <c r="A16" s="4" t="s">
        <v>44</v>
      </c>
      <c r="J16" s="104" t="s">
        <v>43</v>
      </c>
      <c r="K16" s="97"/>
      <c r="L16" s="97"/>
      <c r="M16" s="97"/>
      <c r="N16" s="97"/>
      <c r="O16" s="97"/>
    </row>
    <row r="17" spans="1:15" ht="12" customHeight="1" x14ac:dyDescent="0.4"/>
    <row r="18" spans="1:15" ht="12" customHeight="1" x14ac:dyDescent="0.4">
      <c r="A18" s="45"/>
      <c r="B18" s="51" t="s">
        <v>45</v>
      </c>
      <c r="C18" s="51" t="s">
        <v>46</v>
      </c>
      <c r="D18" s="52" t="s">
        <v>21</v>
      </c>
    </row>
    <row r="19" spans="1:15" ht="12" customHeight="1" x14ac:dyDescent="0.4">
      <c r="A19" s="53" t="s">
        <v>47</v>
      </c>
      <c r="B19" s="54">
        <v>350</v>
      </c>
      <c r="C19" s="54">
        <v>400</v>
      </c>
      <c r="D19" s="48">
        <v>325</v>
      </c>
      <c r="E19" s="54"/>
    </row>
    <row r="20" spans="1:15" ht="12" customHeight="1" x14ac:dyDescent="0.4">
      <c r="A20" s="53" t="s">
        <v>48</v>
      </c>
      <c r="B20" s="54">
        <v>100</v>
      </c>
      <c r="C20" s="54">
        <v>100</v>
      </c>
      <c r="D20" s="48">
        <v>110</v>
      </c>
      <c r="E20" s="54"/>
    </row>
    <row r="21" spans="1:15" ht="12" customHeight="1" x14ac:dyDescent="0.4">
      <c r="A21" s="55" t="s">
        <v>49</v>
      </c>
      <c r="B21" s="56">
        <v>500</v>
      </c>
      <c r="C21" s="56">
        <v>550</v>
      </c>
      <c r="D21" s="50">
        <v>525</v>
      </c>
      <c r="E21" s="54"/>
    </row>
    <row r="22" spans="1:15" ht="12" customHeight="1" x14ac:dyDescent="0.4"/>
    <row r="23" spans="1:15" ht="12" customHeight="1" x14ac:dyDescent="0.4"/>
    <row r="24" spans="1:15" s="75" customFormat="1" ht="12" customHeight="1" x14ac:dyDescent="0.4"/>
    <row r="25" spans="1:15" s="75" customFormat="1" ht="12" customHeight="1" x14ac:dyDescent="0.4"/>
    <row r="26" spans="1:15" ht="12" customHeight="1" x14ac:dyDescent="0.4"/>
    <row r="27" spans="1:15" ht="12" customHeight="1" x14ac:dyDescent="0.4"/>
    <row r="28" spans="1:15" s="75" customFormat="1" ht="12" customHeight="1" x14ac:dyDescent="0.4"/>
    <row r="29" spans="1:15" ht="12" customHeight="1" x14ac:dyDescent="0.4"/>
    <row r="30" spans="1:15" ht="12" customHeight="1" x14ac:dyDescent="0.55000000000000004">
      <c r="A30" s="80" t="s">
        <v>50</v>
      </c>
      <c r="J30" s="104" t="s">
        <v>43</v>
      </c>
      <c r="K30" s="97"/>
      <c r="L30" s="97"/>
      <c r="M30" s="97"/>
      <c r="N30" s="97"/>
      <c r="O30" s="97"/>
    </row>
    <row r="31" spans="1:15" ht="12" customHeight="1" x14ac:dyDescent="0.4"/>
    <row r="32" spans="1:15" ht="12" customHeight="1" x14ac:dyDescent="0.4">
      <c r="A32" s="57" t="s">
        <v>51</v>
      </c>
      <c r="B32" s="58">
        <v>5000</v>
      </c>
      <c r="C32" s="58">
        <v>10000</v>
      </c>
      <c r="D32" s="58">
        <v>15000</v>
      </c>
      <c r="E32" s="58">
        <v>20000</v>
      </c>
      <c r="F32" s="59"/>
      <c r="G32" s="59"/>
    </row>
    <row r="33" spans="1:7" ht="12" customHeight="1" x14ac:dyDescent="0.4">
      <c r="A33" s="60" t="s">
        <v>52</v>
      </c>
      <c r="B33" s="61">
        <v>200000</v>
      </c>
      <c r="C33" s="61">
        <v>400000</v>
      </c>
      <c r="D33" s="61">
        <v>600000</v>
      </c>
      <c r="E33" s="61">
        <v>800000</v>
      </c>
      <c r="F33" s="59"/>
      <c r="G33" s="59"/>
    </row>
    <row r="34" spans="1:7" ht="12" customHeight="1" x14ac:dyDescent="0.4"/>
    <row r="35" spans="1:7" ht="12" customHeight="1" x14ac:dyDescent="0.4"/>
    <row r="36" spans="1:7" ht="12" customHeight="1" x14ac:dyDescent="0.4"/>
    <row r="37" spans="1:7" ht="12" customHeight="1" x14ac:dyDescent="0.4"/>
    <row r="38" spans="1:7" ht="12" customHeight="1" x14ac:dyDescent="0.4"/>
    <row r="39" spans="1:7" ht="12" customHeight="1" x14ac:dyDescent="0.4"/>
    <row r="40" spans="1:7" ht="12" customHeight="1" x14ac:dyDescent="0.4"/>
    <row r="41" spans="1:7" ht="12" customHeight="1" x14ac:dyDescent="0.4"/>
    <row r="42" spans="1:7" ht="12" customHeight="1" x14ac:dyDescent="0.4"/>
    <row r="43" spans="1:7" ht="12" customHeight="1" x14ac:dyDescent="0.4"/>
    <row r="44" spans="1:7" ht="12" customHeight="1" x14ac:dyDescent="0.4"/>
    <row r="45" spans="1:7" ht="12" customHeight="1" x14ac:dyDescent="0.4"/>
    <row r="46" spans="1:7" ht="12" customHeight="1" x14ac:dyDescent="0.4"/>
    <row r="47" spans="1:7" ht="12" customHeight="1" x14ac:dyDescent="0.4"/>
    <row r="48" spans="1:7" ht="12" customHeight="1" x14ac:dyDescent="0.4"/>
    <row r="49" ht="12" customHeight="1" x14ac:dyDescent="0.4"/>
    <row r="50" ht="12" customHeight="1" x14ac:dyDescent="0.4"/>
    <row r="51" ht="12" customHeight="1" x14ac:dyDescent="0.4"/>
    <row r="52" ht="12" customHeight="1" x14ac:dyDescent="0.4"/>
    <row r="53" ht="12" customHeight="1" x14ac:dyDescent="0.4"/>
    <row r="54" ht="12" customHeight="1" x14ac:dyDescent="0.4"/>
    <row r="55" ht="12" customHeight="1" x14ac:dyDescent="0.4"/>
    <row r="56" ht="12" customHeight="1" x14ac:dyDescent="0.4"/>
    <row r="57" ht="12" customHeight="1" x14ac:dyDescent="0.4"/>
    <row r="58" ht="12" customHeight="1" x14ac:dyDescent="0.4"/>
    <row r="59" ht="12" customHeight="1" x14ac:dyDescent="0.4"/>
    <row r="60" ht="12" customHeight="1" x14ac:dyDescent="0.4"/>
    <row r="61" ht="12" customHeight="1" x14ac:dyDescent="0.4"/>
    <row r="62" ht="12" customHeight="1" x14ac:dyDescent="0.4"/>
    <row r="63" ht="12" customHeight="1" x14ac:dyDescent="0.4"/>
    <row r="64" ht="12" customHeight="1" x14ac:dyDescent="0.4"/>
    <row r="65" ht="12" customHeight="1" x14ac:dyDescent="0.4"/>
    <row r="66" ht="12" customHeight="1" x14ac:dyDescent="0.4"/>
    <row r="67" ht="12" customHeight="1" x14ac:dyDescent="0.4"/>
    <row r="68" ht="12" customHeight="1" x14ac:dyDescent="0.4"/>
    <row r="69" ht="12" customHeight="1" x14ac:dyDescent="0.4"/>
    <row r="70" ht="12" customHeight="1" x14ac:dyDescent="0.4"/>
    <row r="71" ht="12" customHeight="1" x14ac:dyDescent="0.4"/>
    <row r="72" ht="12" customHeight="1" x14ac:dyDescent="0.4"/>
    <row r="73" ht="12" customHeight="1" x14ac:dyDescent="0.4"/>
    <row r="74" ht="12" customHeight="1" x14ac:dyDescent="0.4"/>
    <row r="75" ht="12" customHeight="1" x14ac:dyDescent="0.4"/>
    <row r="76" ht="12" customHeight="1" x14ac:dyDescent="0.4"/>
    <row r="77" ht="12" customHeight="1" x14ac:dyDescent="0.4"/>
    <row r="78" ht="12" customHeight="1" x14ac:dyDescent="0.4"/>
    <row r="79" ht="12" customHeight="1" x14ac:dyDescent="0.4"/>
    <row r="80" ht="12" customHeight="1" x14ac:dyDescent="0.4"/>
    <row r="81" ht="12" customHeight="1" x14ac:dyDescent="0.4"/>
    <row r="82" ht="12" customHeight="1" x14ac:dyDescent="0.4"/>
    <row r="83" ht="12" customHeight="1" x14ac:dyDescent="0.4"/>
    <row r="84" ht="12" customHeight="1" x14ac:dyDescent="0.4"/>
    <row r="85" ht="12" customHeight="1" x14ac:dyDescent="0.4"/>
    <row r="86" ht="12" customHeight="1" x14ac:dyDescent="0.4"/>
    <row r="87" ht="12" customHeight="1" x14ac:dyDescent="0.4"/>
    <row r="88" ht="12" customHeight="1" x14ac:dyDescent="0.4"/>
    <row r="89" ht="12" customHeight="1" x14ac:dyDescent="0.4"/>
    <row r="90" ht="12" customHeight="1" x14ac:dyDescent="0.4"/>
    <row r="91" ht="12" customHeight="1" x14ac:dyDescent="0.4"/>
    <row r="92" ht="12" customHeight="1" x14ac:dyDescent="0.4"/>
    <row r="93" ht="12" customHeight="1" x14ac:dyDescent="0.4"/>
    <row r="94" ht="12" customHeight="1" x14ac:dyDescent="0.4"/>
    <row r="95" ht="12" customHeight="1" x14ac:dyDescent="0.4"/>
    <row r="96" ht="12" customHeight="1" x14ac:dyDescent="0.4"/>
    <row r="97" ht="12" customHeight="1" x14ac:dyDescent="0.4"/>
    <row r="98" ht="12" customHeight="1" x14ac:dyDescent="0.4"/>
    <row r="99" ht="12" customHeight="1" x14ac:dyDescent="0.4"/>
    <row r="100" ht="12" customHeight="1" x14ac:dyDescent="0.4"/>
    <row r="101" ht="12" customHeight="1" x14ac:dyDescent="0.4"/>
    <row r="102" ht="12" customHeight="1" x14ac:dyDescent="0.4"/>
    <row r="103" ht="12" customHeight="1" x14ac:dyDescent="0.4"/>
    <row r="104" ht="12" customHeight="1" x14ac:dyDescent="0.4"/>
    <row r="105" ht="12" customHeight="1" x14ac:dyDescent="0.4"/>
    <row r="106" ht="12" customHeight="1" x14ac:dyDescent="0.4"/>
    <row r="107" ht="12" customHeight="1" x14ac:dyDescent="0.4"/>
    <row r="108" ht="12" customHeight="1" x14ac:dyDescent="0.4"/>
    <row r="109" ht="12" customHeight="1" x14ac:dyDescent="0.4"/>
    <row r="110" ht="12" customHeight="1" x14ac:dyDescent="0.4"/>
    <row r="111" ht="12" customHeight="1" x14ac:dyDescent="0.4"/>
    <row r="112" ht="12" customHeight="1" x14ac:dyDescent="0.4"/>
    <row r="113" ht="12" customHeight="1" x14ac:dyDescent="0.4"/>
    <row r="114" ht="12" customHeight="1" x14ac:dyDescent="0.4"/>
    <row r="115" ht="12" customHeight="1" x14ac:dyDescent="0.4"/>
    <row r="116" ht="12" customHeight="1" x14ac:dyDescent="0.4"/>
    <row r="117" ht="12" customHeight="1" x14ac:dyDescent="0.4"/>
    <row r="118" ht="12" customHeight="1" x14ac:dyDescent="0.4"/>
    <row r="119" ht="12" customHeight="1" x14ac:dyDescent="0.4"/>
    <row r="120" ht="12" customHeight="1" x14ac:dyDescent="0.4"/>
    <row r="121" ht="12" customHeight="1" x14ac:dyDescent="0.4"/>
    <row r="122" ht="12" customHeight="1" x14ac:dyDescent="0.4"/>
    <row r="123" ht="12" customHeight="1" x14ac:dyDescent="0.4"/>
    <row r="124" ht="12" customHeight="1" x14ac:dyDescent="0.4"/>
    <row r="125" ht="12" customHeight="1" x14ac:dyDescent="0.4"/>
    <row r="126" ht="12" customHeight="1" x14ac:dyDescent="0.4"/>
    <row r="127" ht="12" customHeight="1" x14ac:dyDescent="0.4"/>
    <row r="128" ht="12" customHeight="1" x14ac:dyDescent="0.4"/>
    <row r="129" ht="12" customHeight="1" x14ac:dyDescent="0.4"/>
    <row r="130" ht="12" customHeight="1" x14ac:dyDescent="0.4"/>
    <row r="131" ht="12" customHeight="1" x14ac:dyDescent="0.4"/>
    <row r="132" ht="12" customHeight="1" x14ac:dyDescent="0.4"/>
    <row r="133" ht="12" customHeight="1" x14ac:dyDescent="0.4"/>
    <row r="134" ht="12" customHeight="1" x14ac:dyDescent="0.4"/>
    <row r="135" ht="12" customHeight="1" x14ac:dyDescent="0.4"/>
    <row r="136" ht="12" customHeight="1" x14ac:dyDescent="0.4"/>
    <row r="137" ht="12" customHeight="1" x14ac:dyDescent="0.4"/>
    <row r="138" ht="12" customHeight="1" x14ac:dyDescent="0.4"/>
    <row r="139" ht="12" customHeight="1" x14ac:dyDescent="0.4"/>
    <row r="140" ht="12" customHeight="1" x14ac:dyDescent="0.4"/>
    <row r="141" ht="12" customHeight="1" x14ac:dyDescent="0.4"/>
    <row r="142" ht="12" customHeight="1" x14ac:dyDescent="0.4"/>
    <row r="143" ht="12" customHeight="1" x14ac:dyDescent="0.4"/>
    <row r="144" ht="12" customHeight="1" x14ac:dyDescent="0.4"/>
    <row r="145" ht="12" customHeight="1" x14ac:dyDescent="0.4"/>
    <row r="146" ht="12" customHeight="1" x14ac:dyDescent="0.4"/>
    <row r="147" ht="12" customHeight="1" x14ac:dyDescent="0.4"/>
    <row r="148" ht="12" customHeight="1" x14ac:dyDescent="0.4"/>
    <row r="149" ht="12" customHeight="1" x14ac:dyDescent="0.4"/>
    <row r="150" ht="12" customHeight="1" x14ac:dyDescent="0.4"/>
    <row r="151" ht="12" customHeight="1" x14ac:dyDescent="0.4"/>
    <row r="152" ht="12" customHeight="1" x14ac:dyDescent="0.4"/>
    <row r="153" ht="12" customHeight="1" x14ac:dyDescent="0.4"/>
    <row r="154" ht="12" customHeight="1" x14ac:dyDescent="0.4"/>
    <row r="155" ht="12" customHeight="1" x14ac:dyDescent="0.4"/>
    <row r="156" ht="12" customHeight="1" x14ac:dyDescent="0.4"/>
    <row r="157" ht="12" customHeight="1" x14ac:dyDescent="0.4"/>
    <row r="158" ht="12" customHeight="1" x14ac:dyDescent="0.4"/>
    <row r="159" ht="12" customHeight="1" x14ac:dyDescent="0.4"/>
    <row r="160" ht="12" customHeight="1" x14ac:dyDescent="0.4"/>
    <row r="161" ht="12" customHeight="1" x14ac:dyDescent="0.4"/>
    <row r="162" ht="12" customHeight="1" x14ac:dyDescent="0.4"/>
    <row r="163" ht="12" customHeight="1" x14ac:dyDescent="0.4"/>
    <row r="164" ht="12" customHeight="1" x14ac:dyDescent="0.4"/>
    <row r="165" ht="12" customHeight="1" x14ac:dyDescent="0.4"/>
    <row r="166" ht="12" customHeight="1" x14ac:dyDescent="0.4"/>
    <row r="167" ht="12" customHeight="1" x14ac:dyDescent="0.4"/>
    <row r="168" ht="12" customHeight="1" x14ac:dyDescent="0.4"/>
    <row r="169" ht="12" customHeight="1" x14ac:dyDescent="0.4"/>
    <row r="170" ht="12" customHeight="1" x14ac:dyDescent="0.4"/>
    <row r="171" ht="12" customHeight="1" x14ac:dyDescent="0.4"/>
    <row r="172" ht="12" customHeight="1" x14ac:dyDescent="0.4"/>
    <row r="173" ht="12" customHeight="1" x14ac:dyDescent="0.4"/>
    <row r="174" ht="12" customHeight="1" x14ac:dyDescent="0.4"/>
    <row r="175" ht="12" customHeight="1" x14ac:dyDescent="0.4"/>
    <row r="176" ht="12" customHeight="1" x14ac:dyDescent="0.4"/>
    <row r="177" ht="12" customHeight="1" x14ac:dyDescent="0.4"/>
    <row r="178" ht="12" customHeight="1" x14ac:dyDescent="0.4"/>
    <row r="179" ht="12" customHeight="1" x14ac:dyDescent="0.4"/>
    <row r="180" ht="12" customHeight="1" x14ac:dyDescent="0.4"/>
    <row r="181" ht="12" customHeight="1" x14ac:dyDescent="0.4"/>
    <row r="182" ht="12" customHeight="1" x14ac:dyDescent="0.4"/>
    <row r="183" ht="12" customHeight="1" x14ac:dyDescent="0.4"/>
    <row r="184" ht="12" customHeight="1" x14ac:dyDescent="0.4"/>
    <row r="185" ht="12" customHeight="1" x14ac:dyDescent="0.4"/>
    <row r="186" ht="12" customHeight="1" x14ac:dyDescent="0.4"/>
    <row r="187" ht="12" customHeight="1" x14ac:dyDescent="0.4"/>
    <row r="188" ht="12" customHeight="1" x14ac:dyDescent="0.4"/>
    <row r="189" ht="12" customHeight="1" x14ac:dyDescent="0.4"/>
    <row r="190" ht="12" customHeight="1" x14ac:dyDescent="0.4"/>
    <row r="191" ht="12" customHeight="1" x14ac:dyDescent="0.4"/>
    <row r="192" ht="12" customHeight="1" x14ac:dyDescent="0.4"/>
    <row r="193" ht="12" customHeight="1" x14ac:dyDescent="0.4"/>
    <row r="194" ht="12" customHeight="1" x14ac:dyDescent="0.4"/>
    <row r="195" ht="12" customHeight="1" x14ac:dyDescent="0.4"/>
    <row r="196" ht="12" customHeight="1" x14ac:dyDescent="0.4"/>
    <row r="197" ht="12" customHeight="1" x14ac:dyDescent="0.4"/>
    <row r="198" ht="12" customHeight="1" x14ac:dyDescent="0.4"/>
    <row r="199" ht="12" customHeight="1" x14ac:dyDescent="0.4"/>
    <row r="200" ht="12" customHeight="1" x14ac:dyDescent="0.4"/>
    <row r="201" ht="12" customHeight="1" x14ac:dyDescent="0.4"/>
    <row r="202" ht="12" customHeight="1" x14ac:dyDescent="0.4"/>
    <row r="203" ht="12" customHeight="1" x14ac:dyDescent="0.4"/>
    <row r="204" ht="12" customHeight="1" x14ac:dyDescent="0.4"/>
    <row r="205" ht="12" customHeight="1" x14ac:dyDescent="0.4"/>
    <row r="206" ht="12" customHeight="1" x14ac:dyDescent="0.4"/>
    <row r="207" ht="12" customHeight="1" x14ac:dyDescent="0.4"/>
    <row r="208" ht="12" customHeight="1" x14ac:dyDescent="0.4"/>
    <row r="209" ht="12" customHeight="1" x14ac:dyDescent="0.4"/>
    <row r="210" ht="12" customHeight="1" x14ac:dyDescent="0.4"/>
    <row r="211" ht="12" customHeight="1" x14ac:dyDescent="0.4"/>
    <row r="212" ht="12" customHeight="1" x14ac:dyDescent="0.4"/>
    <row r="213" ht="12" customHeight="1" x14ac:dyDescent="0.4"/>
    <row r="214" ht="12" customHeight="1" x14ac:dyDescent="0.4"/>
    <row r="215" ht="12" customHeight="1" x14ac:dyDescent="0.4"/>
    <row r="216" ht="12" customHeight="1" x14ac:dyDescent="0.4"/>
    <row r="217" ht="12" customHeight="1" x14ac:dyDescent="0.4"/>
    <row r="218" ht="12" customHeight="1" x14ac:dyDescent="0.4"/>
    <row r="219" ht="12" customHeight="1" x14ac:dyDescent="0.4"/>
    <row r="220" ht="12" customHeight="1" x14ac:dyDescent="0.4"/>
    <row r="221" ht="12" customHeight="1" x14ac:dyDescent="0.4"/>
    <row r="222" ht="12" customHeight="1" x14ac:dyDescent="0.4"/>
    <row r="223" ht="12" customHeight="1" x14ac:dyDescent="0.4"/>
    <row r="224" ht="12" customHeight="1" x14ac:dyDescent="0.4"/>
    <row r="225" ht="12" customHeight="1" x14ac:dyDescent="0.4"/>
    <row r="226" ht="12" customHeight="1" x14ac:dyDescent="0.4"/>
    <row r="227" ht="12" customHeight="1" x14ac:dyDescent="0.4"/>
    <row r="228" ht="12" customHeight="1" x14ac:dyDescent="0.4"/>
    <row r="229" ht="12" customHeight="1" x14ac:dyDescent="0.4"/>
    <row r="230" ht="12" customHeight="1" x14ac:dyDescent="0.4"/>
    <row r="231" ht="12" customHeight="1" x14ac:dyDescent="0.4"/>
    <row r="232" ht="12" customHeight="1" x14ac:dyDescent="0.4"/>
    <row r="233" ht="12" customHeight="1" x14ac:dyDescent="0.4"/>
    <row r="234" ht="12" customHeight="1" x14ac:dyDescent="0.4"/>
    <row r="235" ht="12" customHeight="1" x14ac:dyDescent="0.4"/>
    <row r="236" ht="12" customHeight="1" x14ac:dyDescent="0.4"/>
    <row r="237" ht="12" customHeight="1" x14ac:dyDescent="0.4"/>
    <row r="238" ht="12" customHeight="1" x14ac:dyDescent="0.4"/>
    <row r="239" ht="12" customHeight="1" x14ac:dyDescent="0.4"/>
    <row r="240" ht="12" customHeight="1" x14ac:dyDescent="0.4"/>
    <row r="241" ht="12" customHeight="1" x14ac:dyDescent="0.4"/>
    <row r="242" ht="12" customHeight="1" x14ac:dyDescent="0.4"/>
    <row r="243" ht="12" customHeight="1" x14ac:dyDescent="0.4"/>
    <row r="244" ht="12" customHeight="1" x14ac:dyDescent="0.4"/>
    <row r="245" ht="12" customHeight="1" x14ac:dyDescent="0.4"/>
    <row r="246" ht="12" customHeight="1" x14ac:dyDescent="0.4"/>
    <row r="247" ht="12" customHeight="1" x14ac:dyDescent="0.4"/>
    <row r="248" ht="12" customHeight="1" x14ac:dyDescent="0.4"/>
    <row r="249" ht="12" customHeight="1" x14ac:dyDescent="0.4"/>
    <row r="250" ht="12" customHeight="1" x14ac:dyDescent="0.4"/>
    <row r="251" ht="12" customHeight="1" x14ac:dyDescent="0.4"/>
    <row r="252" ht="12" customHeight="1" x14ac:dyDescent="0.4"/>
    <row r="253" ht="12" customHeight="1" x14ac:dyDescent="0.4"/>
    <row r="254" ht="12" customHeight="1" x14ac:dyDescent="0.4"/>
    <row r="255" ht="12" customHeight="1" x14ac:dyDescent="0.4"/>
    <row r="256" ht="12" customHeight="1" x14ac:dyDescent="0.4"/>
    <row r="257" ht="12" customHeight="1" x14ac:dyDescent="0.4"/>
    <row r="258" ht="12" customHeight="1" x14ac:dyDescent="0.4"/>
    <row r="259" ht="12" customHeight="1" x14ac:dyDescent="0.4"/>
    <row r="260" ht="12" customHeight="1" x14ac:dyDescent="0.4"/>
    <row r="261" ht="12" customHeight="1" x14ac:dyDescent="0.4"/>
    <row r="262" ht="12" customHeight="1" x14ac:dyDescent="0.4"/>
    <row r="263" ht="12" customHeight="1" x14ac:dyDescent="0.4"/>
    <row r="264" ht="12" customHeight="1" x14ac:dyDescent="0.4"/>
    <row r="265" ht="12" customHeight="1" x14ac:dyDescent="0.4"/>
    <row r="266" ht="12" customHeight="1" x14ac:dyDescent="0.4"/>
    <row r="267" ht="12" customHeight="1" x14ac:dyDescent="0.4"/>
    <row r="268" ht="12" customHeight="1" x14ac:dyDescent="0.4"/>
    <row r="269" ht="12" customHeight="1" x14ac:dyDescent="0.4"/>
    <row r="270" ht="12" customHeight="1" x14ac:dyDescent="0.4"/>
    <row r="271" ht="12" customHeight="1" x14ac:dyDescent="0.4"/>
    <row r="272" ht="12" customHeight="1" x14ac:dyDescent="0.4"/>
    <row r="273" ht="12" customHeight="1" x14ac:dyDescent="0.4"/>
    <row r="274" ht="12" customHeight="1" x14ac:dyDescent="0.4"/>
    <row r="275" ht="12" customHeight="1" x14ac:dyDescent="0.4"/>
    <row r="276" ht="12" customHeight="1" x14ac:dyDescent="0.4"/>
    <row r="277" ht="12" customHeight="1" x14ac:dyDescent="0.4"/>
    <row r="278" ht="12" customHeight="1" x14ac:dyDescent="0.4"/>
    <row r="279" ht="12" customHeight="1" x14ac:dyDescent="0.4"/>
    <row r="280" ht="12" customHeight="1" x14ac:dyDescent="0.4"/>
    <row r="281" ht="12" customHeight="1" x14ac:dyDescent="0.4"/>
    <row r="282" ht="12" customHeight="1" x14ac:dyDescent="0.4"/>
    <row r="283" ht="12" customHeight="1" x14ac:dyDescent="0.4"/>
    <row r="284" ht="12" customHeight="1" x14ac:dyDescent="0.4"/>
    <row r="285" ht="12" customHeight="1" x14ac:dyDescent="0.4"/>
    <row r="286" ht="12" customHeight="1" x14ac:dyDescent="0.4"/>
    <row r="287" ht="12" customHeight="1" x14ac:dyDescent="0.4"/>
    <row r="288" ht="12" customHeight="1" x14ac:dyDescent="0.4"/>
    <row r="289" ht="12" customHeight="1" x14ac:dyDescent="0.4"/>
    <row r="290" ht="12" customHeight="1" x14ac:dyDescent="0.4"/>
    <row r="291" ht="12" customHeight="1" x14ac:dyDescent="0.4"/>
    <row r="292" ht="12" customHeight="1" x14ac:dyDescent="0.4"/>
    <row r="293" ht="12" customHeight="1" x14ac:dyDescent="0.4"/>
    <row r="294" ht="12" customHeight="1" x14ac:dyDescent="0.4"/>
    <row r="295" ht="12" customHeight="1" x14ac:dyDescent="0.4"/>
    <row r="296" ht="12" customHeight="1" x14ac:dyDescent="0.4"/>
    <row r="297" ht="12" customHeight="1" x14ac:dyDescent="0.4"/>
    <row r="298" ht="12" customHeight="1" x14ac:dyDescent="0.4"/>
    <row r="299" ht="12" customHeight="1" x14ac:dyDescent="0.4"/>
    <row r="300" ht="12" customHeight="1" x14ac:dyDescent="0.4"/>
    <row r="301" ht="12" customHeight="1" x14ac:dyDescent="0.4"/>
    <row r="302" ht="12" customHeight="1" x14ac:dyDescent="0.4"/>
    <row r="303" ht="12" customHeight="1" x14ac:dyDescent="0.4"/>
    <row r="304" ht="12" customHeight="1" x14ac:dyDescent="0.4"/>
    <row r="305" ht="12" customHeight="1" x14ac:dyDescent="0.4"/>
    <row r="306" ht="12" customHeight="1" x14ac:dyDescent="0.4"/>
    <row r="307" ht="12" customHeight="1" x14ac:dyDescent="0.4"/>
    <row r="308" ht="12" customHeight="1" x14ac:dyDescent="0.4"/>
    <row r="309" ht="12" customHeight="1" x14ac:dyDescent="0.4"/>
    <row r="310" ht="12" customHeight="1" x14ac:dyDescent="0.4"/>
    <row r="311" ht="12" customHeight="1" x14ac:dyDescent="0.4"/>
    <row r="312" ht="12" customHeight="1" x14ac:dyDescent="0.4"/>
    <row r="313" ht="12" customHeight="1" x14ac:dyDescent="0.4"/>
    <row r="314" ht="12" customHeight="1" x14ac:dyDescent="0.4"/>
    <row r="315" ht="12" customHeight="1" x14ac:dyDescent="0.4"/>
    <row r="316" ht="12" customHeight="1" x14ac:dyDescent="0.4"/>
    <row r="317" ht="12" customHeight="1" x14ac:dyDescent="0.4"/>
    <row r="318" ht="12" customHeight="1" x14ac:dyDescent="0.4"/>
    <row r="319" ht="12" customHeight="1" x14ac:dyDescent="0.4"/>
    <row r="320" ht="12" customHeight="1" x14ac:dyDescent="0.4"/>
    <row r="321" ht="12" customHeight="1" x14ac:dyDescent="0.4"/>
    <row r="322" ht="12" customHeight="1" x14ac:dyDescent="0.4"/>
    <row r="323" ht="12" customHeight="1" x14ac:dyDescent="0.4"/>
    <row r="324" ht="12" customHeight="1" x14ac:dyDescent="0.4"/>
    <row r="325" ht="12" customHeight="1" x14ac:dyDescent="0.4"/>
    <row r="326" ht="12" customHeight="1" x14ac:dyDescent="0.4"/>
    <row r="327" ht="12" customHeight="1" x14ac:dyDescent="0.4"/>
    <row r="328" ht="12" customHeight="1" x14ac:dyDescent="0.4"/>
    <row r="329" ht="12" customHeight="1" x14ac:dyDescent="0.4"/>
    <row r="330" ht="12" customHeight="1" x14ac:dyDescent="0.4"/>
    <row r="331" ht="12" customHeight="1" x14ac:dyDescent="0.4"/>
    <row r="332" ht="12" customHeight="1" x14ac:dyDescent="0.4"/>
    <row r="333" ht="12" customHeight="1" x14ac:dyDescent="0.4"/>
    <row r="334" ht="12" customHeight="1" x14ac:dyDescent="0.4"/>
    <row r="335" ht="12" customHeight="1" x14ac:dyDescent="0.4"/>
    <row r="336" ht="12" customHeight="1" x14ac:dyDescent="0.4"/>
    <row r="337" ht="12" customHeight="1" x14ac:dyDescent="0.4"/>
    <row r="338" ht="12" customHeight="1" x14ac:dyDescent="0.4"/>
    <row r="339" ht="12" customHeight="1" x14ac:dyDescent="0.4"/>
    <row r="340" ht="12" customHeight="1" x14ac:dyDescent="0.4"/>
    <row r="341" ht="12" customHeight="1" x14ac:dyDescent="0.4"/>
    <row r="342" ht="12" customHeight="1" x14ac:dyDescent="0.4"/>
    <row r="343" ht="12" customHeight="1" x14ac:dyDescent="0.4"/>
    <row r="344" ht="12" customHeight="1" x14ac:dyDescent="0.4"/>
    <row r="345" ht="12" customHeight="1" x14ac:dyDescent="0.4"/>
    <row r="346" ht="12" customHeight="1" x14ac:dyDescent="0.4"/>
    <row r="347" ht="12" customHeight="1" x14ac:dyDescent="0.4"/>
    <row r="348" ht="12" customHeight="1" x14ac:dyDescent="0.4"/>
    <row r="349" ht="12" customHeight="1" x14ac:dyDescent="0.4"/>
    <row r="350" ht="12" customHeight="1" x14ac:dyDescent="0.4"/>
    <row r="351" ht="12" customHeight="1" x14ac:dyDescent="0.4"/>
    <row r="352" ht="12" customHeight="1" x14ac:dyDescent="0.4"/>
    <row r="353" ht="12" customHeight="1" x14ac:dyDescent="0.4"/>
    <row r="354" ht="12" customHeight="1" x14ac:dyDescent="0.4"/>
    <row r="355" ht="12" customHeight="1" x14ac:dyDescent="0.4"/>
    <row r="356" ht="12" customHeight="1" x14ac:dyDescent="0.4"/>
    <row r="357" ht="12" customHeight="1" x14ac:dyDescent="0.4"/>
    <row r="358" ht="12" customHeight="1" x14ac:dyDescent="0.4"/>
    <row r="359" ht="12" customHeight="1" x14ac:dyDescent="0.4"/>
    <row r="360" ht="12" customHeight="1" x14ac:dyDescent="0.4"/>
    <row r="361" ht="12" customHeight="1" x14ac:dyDescent="0.4"/>
    <row r="362" ht="12" customHeight="1" x14ac:dyDescent="0.4"/>
    <row r="363" ht="12" customHeight="1" x14ac:dyDescent="0.4"/>
    <row r="364" ht="12" customHeight="1" x14ac:dyDescent="0.4"/>
    <row r="365" ht="12" customHeight="1" x14ac:dyDescent="0.4"/>
    <row r="366" ht="12" customHeight="1" x14ac:dyDescent="0.4"/>
    <row r="367" ht="12" customHeight="1" x14ac:dyDescent="0.4"/>
    <row r="368" ht="12" customHeight="1" x14ac:dyDescent="0.4"/>
    <row r="369" ht="12" customHeight="1" x14ac:dyDescent="0.4"/>
    <row r="370" ht="12" customHeight="1" x14ac:dyDescent="0.4"/>
    <row r="371" ht="12" customHeight="1" x14ac:dyDescent="0.4"/>
    <row r="372" ht="12" customHeight="1" x14ac:dyDescent="0.4"/>
    <row r="373" ht="12" customHeight="1" x14ac:dyDescent="0.4"/>
    <row r="374" ht="12" customHeight="1" x14ac:dyDescent="0.4"/>
    <row r="375" ht="12" customHeight="1" x14ac:dyDescent="0.4"/>
    <row r="376" ht="12" customHeight="1" x14ac:dyDescent="0.4"/>
    <row r="377" ht="12" customHeight="1" x14ac:dyDescent="0.4"/>
    <row r="378" ht="12" customHeight="1" x14ac:dyDescent="0.4"/>
    <row r="379" ht="12" customHeight="1" x14ac:dyDescent="0.4"/>
    <row r="380" ht="12" customHeight="1" x14ac:dyDescent="0.4"/>
    <row r="381" ht="12" customHeight="1" x14ac:dyDescent="0.4"/>
    <row r="382" ht="12" customHeight="1" x14ac:dyDescent="0.4"/>
    <row r="383" ht="12" customHeight="1" x14ac:dyDescent="0.4"/>
    <row r="384" ht="12" customHeight="1" x14ac:dyDescent="0.4"/>
    <row r="385" ht="12" customHeight="1" x14ac:dyDescent="0.4"/>
    <row r="386" ht="12" customHeight="1" x14ac:dyDescent="0.4"/>
    <row r="387" ht="12" customHeight="1" x14ac:dyDescent="0.4"/>
    <row r="388" ht="12" customHeight="1" x14ac:dyDescent="0.4"/>
    <row r="389" ht="12" customHeight="1" x14ac:dyDescent="0.4"/>
    <row r="390" ht="12" customHeight="1" x14ac:dyDescent="0.4"/>
    <row r="391" ht="12" customHeight="1" x14ac:dyDescent="0.4"/>
    <row r="392" ht="12" customHeight="1" x14ac:dyDescent="0.4"/>
    <row r="393" ht="12" customHeight="1" x14ac:dyDescent="0.4"/>
    <row r="394" ht="12" customHeight="1" x14ac:dyDescent="0.4"/>
    <row r="395" ht="12" customHeight="1" x14ac:dyDescent="0.4"/>
    <row r="396" ht="12" customHeight="1" x14ac:dyDescent="0.4"/>
    <row r="397" ht="12" customHeight="1" x14ac:dyDescent="0.4"/>
    <row r="398" ht="12" customHeight="1" x14ac:dyDescent="0.4"/>
    <row r="399" ht="12" customHeight="1" x14ac:dyDescent="0.4"/>
    <row r="400" ht="12" customHeight="1" x14ac:dyDescent="0.4"/>
    <row r="401" ht="12" customHeight="1" x14ac:dyDescent="0.4"/>
    <row r="402" ht="12" customHeight="1" x14ac:dyDescent="0.4"/>
    <row r="403" ht="12" customHeight="1" x14ac:dyDescent="0.4"/>
    <row r="404" ht="12" customHeight="1" x14ac:dyDescent="0.4"/>
    <row r="405" ht="12" customHeight="1" x14ac:dyDescent="0.4"/>
    <row r="406" ht="12" customHeight="1" x14ac:dyDescent="0.4"/>
    <row r="407" ht="12" customHeight="1" x14ac:dyDescent="0.4"/>
    <row r="408" ht="12" customHeight="1" x14ac:dyDescent="0.4"/>
    <row r="409" ht="12" customHeight="1" x14ac:dyDescent="0.4"/>
    <row r="410" ht="12" customHeight="1" x14ac:dyDescent="0.4"/>
    <row r="411" ht="12" customHeight="1" x14ac:dyDescent="0.4"/>
    <row r="412" ht="12" customHeight="1" x14ac:dyDescent="0.4"/>
    <row r="413" ht="12" customHeight="1" x14ac:dyDescent="0.4"/>
    <row r="414" ht="12" customHeight="1" x14ac:dyDescent="0.4"/>
    <row r="415" ht="12" customHeight="1" x14ac:dyDescent="0.4"/>
    <row r="416" ht="12" customHeight="1" x14ac:dyDescent="0.4"/>
    <row r="417" ht="12" customHeight="1" x14ac:dyDescent="0.4"/>
    <row r="418" ht="12" customHeight="1" x14ac:dyDescent="0.4"/>
    <row r="419" ht="12" customHeight="1" x14ac:dyDescent="0.4"/>
    <row r="420" ht="12" customHeight="1" x14ac:dyDescent="0.4"/>
    <row r="421" ht="12" customHeight="1" x14ac:dyDescent="0.4"/>
    <row r="422" ht="12" customHeight="1" x14ac:dyDescent="0.4"/>
    <row r="423" ht="12" customHeight="1" x14ac:dyDescent="0.4"/>
    <row r="424" ht="12" customHeight="1" x14ac:dyDescent="0.4"/>
    <row r="425" ht="12" customHeight="1" x14ac:dyDescent="0.4"/>
    <row r="426" ht="12" customHeight="1" x14ac:dyDescent="0.4"/>
    <row r="427" ht="12" customHeight="1" x14ac:dyDescent="0.4"/>
    <row r="428" ht="12" customHeight="1" x14ac:dyDescent="0.4"/>
    <row r="429" ht="12" customHeight="1" x14ac:dyDescent="0.4"/>
    <row r="430" ht="12" customHeight="1" x14ac:dyDescent="0.4"/>
    <row r="431" ht="12" customHeight="1" x14ac:dyDescent="0.4"/>
    <row r="432" ht="12" customHeight="1" x14ac:dyDescent="0.4"/>
    <row r="433" ht="12" customHeight="1" x14ac:dyDescent="0.4"/>
    <row r="434" ht="12" customHeight="1" x14ac:dyDescent="0.4"/>
    <row r="435" ht="12" customHeight="1" x14ac:dyDescent="0.4"/>
    <row r="436" ht="12" customHeight="1" x14ac:dyDescent="0.4"/>
    <row r="437" ht="12" customHeight="1" x14ac:dyDescent="0.4"/>
    <row r="438" ht="12" customHeight="1" x14ac:dyDescent="0.4"/>
    <row r="439" ht="12" customHeight="1" x14ac:dyDescent="0.4"/>
    <row r="440" ht="12" customHeight="1" x14ac:dyDescent="0.4"/>
    <row r="441" ht="12" customHeight="1" x14ac:dyDescent="0.4"/>
    <row r="442" ht="12" customHeight="1" x14ac:dyDescent="0.4"/>
    <row r="443" ht="12" customHeight="1" x14ac:dyDescent="0.4"/>
    <row r="444" ht="12" customHeight="1" x14ac:dyDescent="0.4"/>
    <row r="445" ht="12" customHeight="1" x14ac:dyDescent="0.4"/>
    <row r="446" ht="12" customHeight="1" x14ac:dyDescent="0.4"/>
    <row r="447" ht="12" customHeight="1" x14ac:dyDescent="0.4"/>
    <row r="448" ht="12" customHeight="1" x14ac:dyDescent="0.4"/>
    <row r="449" ht="12" customHeight="1" x14ac:dyDescent="0.4"/>
    <row r="450" ht="12" customHeight="1" x14ac:dyDescent="0.4"/>
    <row r="451" ht="12" customHeight="1" x14ac:dyDescent="0.4"/>
    <row r="452" ht="12" customHeight="1" x14ac:dyDescent="0.4"/>
    <row r="453" ht="12" customHeight="1" x14ac:dyDescent="0.4"/>
    <row r="454" ht="12" customHeight="1" x14ac:dyDescent="0.4"/>
    <row r="455" ht="12" customHeight="1" x14ac:dyDescent="0.4"/>
    <row r="456" ht="12" customHeight="1" x14ac:dyDescent="0.4"/>
    <row r="457" ht="12" customHeight="1" x14ac:dyDescent="0.4"/>
    <row r="458" ht="12" customHeight="1" x14ac:dyDescent="0.4"/>
    <row r="459" ht="12" customHeight="1" x14ac:dyDescent="0.4"/>
    <row r="460" ht="12" customHeight="1" x14ac:dyDescent="0.4"/>
    <row r="461" ht="12" customHeight="1" x14ac:dyDescent="0.4"/>
    <row r="462" ht="12" customHeight="1" x14ac:dyDescent="0.4"/>
    <row r="463" ht="12" customHeight="1" x14ac:dyDescent="0.4"/>
    <row r="464" ht="12" customHeight="1" x14ac:dyDescent="0.4"/>
    <row r="465" ht="12" customHeight="1" x14ac:dyDescent="0.4"/>
    <row r="466" ht="12" customHeight="1" x14ac:dyDescent="0.4"/>
    <row r="467" ht="12" customHeight="1" x14ac:dyDescent="0.4"/>
    <row r="468" ht="12" customHeight="1" x14ac:dyDescent="0.4"/>
    <row r="469" ht="12" customHeight="1" x14ac:dyDescent="0.4"/>
    <row r="470" ht="12" customHeight="1" x14ac:dyDescent="0.4"/>
    <row r="471" ht="12" customHeight="1" x14ac:dyDescent="0.4"/>
    <row r="472" ht="12" customHeight="1" x14ac:dyDescent="0.4"/>
    <row r="473" ht="12" customHeight="1" x14ac:dyDescent="0.4"/>
    <row r="474" ht="12" customHeight="1" x14ac:dyDescent="0.4"/>
    <row r="475" ht="12" customHeight="1" x14ac:dyDescent="0.4"/>
    <row r="476" ht="12" customHeight="1" x14ac:dyDescent="0.4"/>
    <row r="477" ht="12" customHeight="1" x14ac:dyDescent="0.4"/>
    <row r="478" ht="12" customHeight="1" x14ac:dyDescent="0.4"/>
    <row r="479" ht="12" customHeight="1" x14ac:dyDescent="0.4"/>
    <row r="480" ht="12" customHeight="1" x14ac:dyDescent="0.4"/>
    <row r="481" ht="12" customHeight="1" x14ac:dyDescent="0.4"/>
    <row r="482" ht="12" customHeight="1" x14ac:dyDescent="0.4"/>
    <row r="483" ht="12" customHeight="1" x14ac:dyDescent="0.4"/>
    <row r="484" ht="12" customHeight="1" x14ac:dyDescent="0.4"/>
    <row r="485" ht="12" customHeight="1" x14ac:dyDescent="0.4"/>
    <row r="486" ht="12" customHeight="1" x14ac:dyDescent="0.4"/>
    <row r="487" ht="12" customHeight="1" x14ac:dyDescent="0.4"/>
    <row r="488" ht="12" customHeight="1" x14ac:dyDescent="0.4"/>
    <row r="489" ht="12" customHeight="1" x14ac:dyDescent="0.4"/>
    <row r="490" ht="12" customHeight="1" x14ac:dyDescent="0.4"/>
    <row r="491" ht="12" customHeight="1" x14ac:dyDescent="0.4"/>
    <row r="492" ht="12" customHeight="1" x14ac:dyDescent="0.4"/>
    <row r="493" ht="12" customHeight="1" x14ac:dyDescent="0.4"/>
    <row r="494" ht="12" customHeight="1" x14ac:dyDescent="0.4"/>
    <row r="495" ht="12" customHeight="1" x14ac:dyDescent="0.4"/>
    <row r="496" ht="12" customHeight="1" x14ac:dyDescent="0.4"/>
    <row r="497" ht="12" customHeight="1" x14ac:dyDescent="0.4"/>
    <row r="498" ht="12" customHeight="1" x14ac:dyDescent="0.4"/>
    <row r="499" ht="12" customHeight="1" x14ac:dyDescent="0.4"/>
    <row r="500" ht="12" customHeight="1" x14ac:dyDescent="0.4"/>
    <row r="501" ht="12" customHeight="1" x14ac:dyDescent="0.4"/>
    <row r="502" ht="12" customHeight="1" x14ac:dyDescent="0.4"/>
    <row r="503" ht="12" customHeight="1" x14ac:dyDescent="0.4"/>
    <row r="504" ht="12" customHeight="1" x14ac:dyDescent="0.4"/>
    <row r="505" ht="12" customHeight="1" x14ac:dyDescent="0.4"/>
    <row r="506" ht="12" customHeight="1" x14ac:dyDescent="0.4"/>
    <row r="507" ht="12" customHeight="1" x14ac:dyDescent="0.4"/>
    <row r="508" ht="12" customHeight="1" x14ac:dyDescent="0.4"/>
    <row r="509" ht="12" customHeight="1" x14ac:dyDescent="0.4"/>
    <row r="510" ht="12" customHeight="1" x14ac:dyDescent="0.4"/>
    <row r="511" ht="12" customHeight="1" x14ac:dyDescent="0.4"/>
    <row r="512" ht="12" customHeight="1" x14ac:dyDescent="0.4"/>
    <row r="513" ht="12" customHeight="1" x14ac:dyDescent="0.4"/>
    <row r="514" ht="12" customHeight="1" x14ac:dyDescent="0.4"/>
    <row r="515" ht="12" customHeight="1" x14ac:dyDescent="0.4"/>
    <row r="516" ht="12" customHeight="1" x14ac:dyDescent="0.4"/>
    <row r="517" ht="12" customHeight="1" x14ac:dyDescent="0.4"/>
    <row r="518" ht="12" customHeight="1" x14ac:dyDescent="0.4"/>
    <row r="519" ht="12" customHeight="1" x14ac:dyDescent="0.4"/>
    <row r="520" ht="12" customHeight="1" x14ac:dyDescent="0.4"/>
    <row r="521" ht="12" customHeight="1" x14ac:dyDescent="0.4"/>
    <row r="522" ht="12" customHeight="1" x14ac:dyDescent="0.4"/>
    <row r="523" ht="12" customHeight="1" x14ac:dyDescent="0.4"/>
    <row r="524" ht="12" customHeight="1" x14ac:dyDescent="0.4"/>
    <row r="525" ht="12" customHeight="1" x14ac:dyDescent="0.4"/>
    <row r="526" ht="12" customHeight="1" x14ac:dyDescent="0.4"/>
    <row r="527" ht="12" customHeight="1" x14ac:dyDescent="0.4"/>
    <row r="528" ht="12" customHeight="1" x14ac:dyDescent="0.4"/>
    <row r="529" ht="12" customHeight="1" x14ac:dyDescent="0.4"/>
    <row r="530" ht="12" customHeight="1" x14ac:dyDescent="0.4"/>
    <row r="531" ht="12" customHeight="1" x14ac:dyDescent="0.4"/>
    <row r="532" ht="12" customHeight="1" x14ac:dyDescent="0.4"/>
    <row r="533" ht="12" customHeight="1" x14ac:dyDescent="0.4"/>
    <row r="534" ht="12" customHeight="1" x14ac:dyDescent="0.4"/>
    <row r="535" ht="12" customHeight="1" x14ac:dyDescent="0.4"/>
    <row r="536" ht="12" customHeight="1" x14ac:dyDescent="0.4"/>
    <row r="537" ht="12" customHeight="1" x14ac:dyDescent="0.4"/>
    <row r="538" ht="12" customHeight="1" x14ac:dyDescent="0.4"/>
    <row r="539" ht="12" customHeight="1" x14ac:dyDescent="0.4"/>
    <row r="540" ht="12" customHeight="1" x14ac:dyDescent="0.4"/>
    <row r="541" ht="12" customHeight="1" x14ac:dyDescent="0.4"/>
    <row r="542" ht="12" customHeight="1" x14ac:dyDescent="0.4"/>
    <row r="543" ht="12" customHeight="1" x14ac:dyDescent="0.4"/>
    <row r="544" ht="12" customHeight="1" x14ac:dyDescent="0.4"/>
    <row r="545" ht="12" customHeight="1" x14ac:dyDescent="0.4"/>
    <row r="546" ht="12" customHeight="1" x14ac:dyDescent="0.4"/>
    <row r="547" ht="12" customHeight="1" x14ac:dyDescent="0.4"/>
    <row r="548" ht="12" customHeight="1" x14ac:dyDescent="0.4"/>
    <row r="549" ht="12" customHeight="1" x14ac:dyDescent="0.4"/>
    <row r="550" ht="12" customHeight="1" x14ac:dyDescent="0.4"/>
    <row r="551" ht="12" customHeight="1" x14ac:dyDescent="0.4"/>
    <row r="552" ht="12" customHeight="1" x14ac:dyDescent="0.4"/>
    <row r="553" ht="12" customHeight="1" x14ac:dyDescent="0.4"/>
    <row r="554" ht="12" customHeight="1" x14ac:dyDescent="0.4"/>
    <row r="555" ht="12" customHeight="1" x14ac:dyDescent="0.4"/>
    <row r="556" ht="12" customHeight="1" x14ac:dyDescent="0.4"/>
    <row r="557" ht="12" customHeight="1" x14ac:dyDescent="0.4"/>
    <row r="558" ht="12" customHeight="1" x14ac:dyDescent="0.4"/>
    <row r="559" ht="12" customHeight="1" x14ac:dyDescent="0.4"/>
    <row r="560" ht="12" customHeight="1" x14ac:dyDescent="0.4"/>
    <row r="561" ht="12" customHeight="1" x14ac:dyDescent="0.4"/>
    <row r="562" ht="12" customHeight="1" x14ac:dyDescent="0.4"/>
    <row r="563" ht="12" customHeight="1" x14ac:dyDescent="0.4"/>
    <row r="564" ht="12" customHeight="1" x14ac:dyDescent="0.4"/>
    <row r="565" ht="12" customHeight="1" x14ac:dyDescent="0.4"/>
    <row r="566" ht="12" customHeight="1" x14ac:dyDescent="0.4"/>
    <row r="567" ht="12" customHeight="1" x14ac:dyDescent="0.4"/>
    <row r="568" ht="12" customHeight="1" x14ac:dyDescent="0.4"/>
    <row r="569" ht="12" customHeight="1" x14ac:dyDescent="0.4"/>
    <row r="570" ht="12" customHeight="1" x14ac:dyDescent="0.4"/>
    <row r="571" ht="12" customHeight="1" x14ac:dyDescent="0.4"/>
    <row r="572" ht="12" customHeight="1" x14ac:dyDescent="0.4"/>
    <row r="573" ht="12" customHeight="1" x14ac:dyDescent="0.4"/>
    <row r="574" ht="12" customHeight="1" x14ac:dyDescent="0.4"/>
    <row r="575" ht="12" customHeight="1" x14ac:dyDescent="0.4"/>
    <row r="576" ht="12" customHeight="1" x14ac:dyDescent="0.4"/>
    <row r="577" ht="12" customHeight="1" x14ac:dyDescent="0.4"/>
    <row r="578" ht="12" customHeight="1" x14ac:dyDescent="0.4"/>
    <row r="579" ht="12" customHeight="1" x14ac:dyDescent="0.4"/>
    <row r="580" ht="12" customHeight="1" x14ac:dyDescent="0.4"/>
    <row r="581" ht="12" customHeight="1" x14ac:dyDescent="0.4"/>
    <row r="582" ht="12" customHeight="1" x14ac:dyDescent="0.4"/>
    <row r="583" ht="12" customHeight="1" x14ac:dyDescent="0.4"/>
    <row r="584" ht="12" customHeight="1" x14ac:dyDescent="0.4"/>
    <row r="585" ht="12" customHeight="1" x14ac:dyDescent="0.4"/>
    <row r="586" ht="12" customHeight="1" x14ac:dyDescent="0.4"/>
    <row r="587" ht="12" customHeight="1" x14ac:dyDescent="0.4"/>
    <row r="588" ht="12" customHeight="1" x14ac:dyDescent="0.4"/>
    <row r="589" ht="12" customHeight="1" x14ac:dyDescent="0.4"/>
    <row r="590" ht="12" customHeight="1" x14ac:dyDescent="0.4"/>
    <row r="591" ht="12" customHeight="1" x14ac:dyDescent="0.4"/>
    <row r="592" ht="12" customHeight="1" x14ac:dyDescent="0.4"/>
    <row r="593" ht="12" customHeight="1" x14ac:dyDescent="0.4"/>
    <row r="594" ht="12" customHeight="1" x14ac:dyDescent="0.4"/>
    <row r="595" ht="12" customHeight="1" x14ac:dyDescent="0.4"/>
    <row r="596" ht="12" customHeight="1" x14ac:dyDescent="0.4"/>
    <row r="597" ht="12" customHeight="1" x14ac:dyDescent="0.4"/>
    <row r="598" ht="12" customHeight="1" x14ac:dyDescent="0.4"/>
    <row r="599" ht="12" customHeight="1" x14ac:dyDescent="0.4"/>
    <row r="600" ht="12" customHeight="1" x14ac:dyDescent="0.4"/>
    <row r="601" ht="12" customHeight="1" x14ac:dyDescent="0.4"/>
    <row r="602" ht="12" customHeight="1" x14ac:dyDescent="0.4"/>
    <row r="603" ht="12" customHeight="1" x14ac:dyDescent="0.4"/>
    <row r="604" ht="12" customHeight="1" x14ac:dyDescent="0.4"/>
    <row r="605" ht="12" customHeight="1" x14ac:dyDescent="0.4"/>
    <row r="606" ht="12" customHeight="1" x14ac:dyDescent="0.4"/>
    <row r="607" ht="12" customHeight="1" x14ac:dyDescent="0.4"/>
    <row r="608" ht="12" customHeight="1" x14ac:dyDescent="0.4"/>
    <row r="609" ht="12" customHeight="1" x14ac:dyDescent="0.4"/>
    <row r="610" ht="12" customHeight="1" x14ac:dyDescent="0.4"/>
    <row r="611" ht="12" customHeight="1" x14ac:dyDescent="0.4"/>
    <row r="612" ht="12" customHeight="1" x14ac:dyDescent="0.4"/>
    <row r="613" ht="12" customHeight="1" x14ac:dyDescent="0.4"/>
    <row r="614" ht="12" customHeight="1" x14ac:dyDescent="0.4"/>
    <row r="615" ht="12" customHeight="1" x14ac:dyDescent="0.4"/>
    <row r="616" ht="12" customHeight="1" x14ac:dyDescent="0.4"/>
    <row r="617" ht="12" customHeight="1" x14ac:dyDescent="0.4"/>
    <row r="618" ht="12" customHeight="1" x14ac:dyDescent="0.4"/>
    <row r="619" ht="12" customHeight="1" x14ac:dyDescent="0.4"/>
    <row r="620" ht="12" customHeight="1" x14ac:dyDescent="0.4"/>
    <row r="621" ht="12" customHeight="1" x14ac:dyDescent="0.4"/>
    <row r="622" ht="12" customHeight="1" x14ac:dyDescent="0.4"/>
    <row r="623" ht="12" customHeight="1" x14ac:dyDescent="0.4"/>
    <row r="624" ht="12" customHeight="1" x14ac:dyDescent="0.4"/>
    <row r="625" ht="12" customHeight="1" x14ac:dyDescent="0.4"/>
    <row r="626" ht="12" customHeight="1" x14ac:dyDescent="0.4"/>
    <row r="627" ht="12" customHeight="1" x14ac:dyDescent="0.4"/>
    <row r="628" ht="12" customHeight="1" x14ac:dyDescent="0.4"/>
    <row r="629" ht="12" customHeight="1" x14ac:dyDescent="0.4"/>
    <row r="630" ht="12" customHeight="1" x14ac:dyDescent="0.4"/>
    <row r="631" ht="12" customHeight="1" x14ac:dyDescent="0.4"/>
    <row r="632" ht="12" customHeight="1" x14ac:dyDescent="0.4"/>
    <row r="633" ht="12" customHeight="1" x14ac:dyDescent="0.4"/>
    <row r="634" ht="12" customHeight="1" x14ac:dyDescent="0.4"/>
    <row r="635" ht="12" customHeight="1" x14ac:dyDescent="0.4"/>
    <row r="636" ht="12" customHeight="1" x14ac:dyDescent="0.4"/>
    <row r="637" ht="12" customHeight="1" x14ac:dyDescent="0.4"/>
    <row r="638" ht="12" customHeight="1" x14ac:dyDescent="0.4"/>
    <row r="639" ht="12" customHeight="1" x14ac:dyDescent="0.4"/>
    <row r="640" ht="12" customHeight="1" x14ac:dyDescent="0.4"/>
    <row r="641" ht="12" customHeight="1" x14ac:dyDescent="0.4"/>
    <row r="642" ht="12" customHeight="1" x14ac:dyDescent="0.4"/>
    <row r="643" ht="12" customHeight="1" x14ac:dyDescent="0.4"/>
    <row r="644" ht="12" customHeight="1" x14ac:dyDescent="0.4"/>
    <row r="645" ht="12" customHeight="1" x14ac:dyDescent="0.4"/>
    <row r="646" ht="12" customHeight="1" x14ac:dyDescent="0.4"/>
    <row r="647" ht="12" customHeight="1" x14ac:dyDescent="0.4"/>
    <row r="648" ht="12" customHeight="1" x14ac:dyDescent="0.4"/>
    <row r="649" ht="12" customHeight="1" x14ac:dyDescent="0.4"/>
    <row r="650" ht="12" customHeight="1" x14ac:dyDescent="0.4"/>
    <row r="651" ht="12" customHeight="1" x14ac:dyDescent="0.4"/>
    <row r="652" ht="12" customHeight="1" x14ac:dyDescent="0.4"/>
    <row r="653" ht="12" customHeight="1" x14ac:dyDescent="0.4"/>
    <row r="654" ht="12" customHeight="1" x14ac:dyDescent="0.4"/>
    <row r="655" ht="12" customHeight="1" x14ac:dyDescent="0.4"/>
    <row r="656" ht="12" customHeight="1" x14ac:dyDescent="0.4"/>
    <row r="657" ht="12" customHeight="1" x14ac:dyDescent="0.4"/>
    <row r="658" ht="12" customHeight="1" x14ac:dyDescent="0.4"/>
    <row r="659" ht="12" customHeight="1" x14ac:dyDescent="0.4"/>
    <row r="660" ht="12" customHeight="1" x14ac:dyDescent="0.4"/>
    <row r="661" ht="12" customHeight="1" x14ac:dyDescent="0.4"/>
    <row r="662" ht="12" customHeight="1" x14ac:dyDescent="0.4"/>
    <row r="663" ht="12" customHeight="1" x14ac:dyDescent="0.4"/>
    <row r="664" ht="12" customHeight="1" x14ac:dyDescent="0.4"/>
    <row r="665" ht="12" customHeight="1" x14ac:dyDescent="0.4"/>
    <row r="666" ht="12" customHeight="1" x14ac:dyDescent="0.4"/>
    <row r="667" ht="12" customHeight="1" x14ac:dyDescent="0.4"/>
    <row r="668" ht="12" customHeight="1" x14ac:dyDescent="0.4"/>
    <row r="669" ht="12" customHeight="1" x14ac:dyDescent="0.4"/>
    <row r="670" ht="12" customHeight="1" x14ac:dyDescent="0.4"/>
    <row r="671" ht="12" customHeight="1" x14ac:dyDescent="0.4"/>
    <row r="672" ht="12" customHeight="1" x14ac:dyDescent="0.4"/>
    <row r="673" ht="12" customHeight="1" x14ac:dyDescent="0.4"/>
    <row r="674" ht="12" customHeight="1" x14ac:dyDescent="0.4"/>
    <row r="675" ht="12" customHeight="1" x14ac:dyDescent="0.4"/>
    <row r="676" ht="12" customHeight="1" x14ac:dyDescent="0.4"/>
    <row r="677" ht="12" customHeight="1" x14ac:dyDescent="0.4"/>
    <row r="678" ht="12" customHeight="1" x14ac:dyDescent="0.4"/>
    <row r="679" ht="12" customHeight="1" x14ac:dyDescent="0.4"/>
    <row r="680" ht="12" customHeight="1" x14ac:dyDescent="0.4"/>
    <row r="681" ht="12" customHeight="1" x14ac:dyDescent="0.4"/>
    <row r="682" ht="12" customHeight="1" x14ac:dyDescent="0.4"/>
    <row r="683" ht="12" customHeight="1" x14ac:dyDescent="0.4"/>
    <row r="684" ht="12" customHeight="1" x14ac:dyDescent="0.4"/>
    <row r="685" ht="12" customHeight="1" x14ac:dyDescent="0.4"/>
    <row r="686" ht="12" customHeight="1" x14ac:dyDescent="0.4"/>
    <row r="687" ht="12" customHeight="1" x14ac:dyDescent="0.4"/>
    <row r="688" ht="12" customHeight="1" x14ac:dyDescent="0.4"/>
    <row r="689" ht="12" customHeight="1" x14ac:dyDescent="0.4"/>
    <row r="690" ht="12" customHeight="1" x14ac:dyDescent="0.4"/>
    <row r="691" ht="12" customHeight="1" x14ac:dyDescent="0.4"/>
    <row r="692" ht="12" customHeight="1" x14ac:dyDescent="0.4"/>
    <row r="693" ht="12" customHeight="1" x14ac:dyDescent="0.4"/>
    <row r="694" ht="12" customHeight="1" x14ac:dyDescent="0.4"/>
    <row r="695" ht="12" customHeight="1" x14ac:dyDescent="0.4"/>
    <row r="696" ht="12" customHeight="1" x14ac:dyDescent="0.4"/>
    <row r="697" ht="12" customHeight="1" x14ac:dyDescent="0.4"/>
    <row r="698" ht="12" customHeight="1" x14ac:dyDescent="0.4"/>
    <row r="699" ht="12" customHeight="1" x14ac:dyDescent="0.4"/>
    <row r="700" ht="12" customHeight="1" x14ac:dyDescent="0.4"/>
    <row r="701" ht="12" customHeight="1" x14ac:dyDescent="0.4"/>
    <row r="702" ht="12" customHeight="1" x14ac:dyDescent="0.4"/>
    <row r="703" ht="12" customHeight="1" x14ac:dyDescent="0.4"/>
    <row r="704" ht="12" customHeight="1" x14ac:dyDescent="0.4"/>
    <row r="705" ht="12" customHeight="1" x14ac:dyDescent="0.4"/>
    <row r="706" ht="12" customHeight="1" x14ac:dyDescent="0.4"/>
    <row r="707" ht="12" customHeight="1" x14ac:dyDescent="0.4"/>
    <row r="708" ht="12" customHeight="1" x14ac:dyDescent="0.4"/>
    <row r="709" ht="12" customHeight="1" x14ac:dyDescent="0.4"/>
    <row r="710" ht="12" customHeight="1" x14ac:dyDescent="0.4"/>
    <row r="711" ht="12" customHeight="1" x14ac:dyDescent="0.4"/>
    <row r="712" ht="12" customHeight="1" x14ac:dyDescent="0.4"/>
    <row r="713" ht="12" customHeight="1" x14ac:dyDescent="0.4"/>
    <row r="714" ht="12" customHeight="1" x14ac:dyDescent="0.4"/>
    <row r="715" ht="12" customHeight="1" x14ac:dyDescent="0.4"/>
    <row r="716" ht="12" customHeight="1" x14ac:dyDescent="0.4"/>
    <row r="717" ht="12" customHeight="1" x14ac:dyDescent="0.4"/>
    <row r="718" ht="12" customHeight="1" x14ac:dyDescent="0.4"/>
    <row r="719" ht="12" customHeight="1" x14ac:dyDescent="0.4"/>
    <row r="720" ht="12" customHeight="1" x14ac:dyDescent="0.4"/>
    <row r="721" ht="12" customHeight="1" x14ac:dyDescent="0.4"/>
    <row r="722" ht="12" customHeight="1" x14ac:dyDescent="0.4"/>
    <row r="723" ht="12" customHeight="1" x14ac:dyDescent="0.4"/>
    <row r="724" ht="12" customHeight="1" x14ac:dyDescent="0.4"/>
    <row r="725" ht="12" customHeight="1" x14ac:dyDescent="0.4"/>
    <row r="726" ht="12" customHeight="1" x14ac:dyDescent="0.4"/>
    <row r="727" ht="12" customHeight="1" x14ac:dyDescent="0.4"/>
    <row r="728" ht="12" customHeight="1" x14ac:dyDescent="0.4"/>
    <row r="729" ht="12" customHeight="1" x14ac:dyDescent="0.4"/>
    <row r="730" ht="12" customHeight="1" x14ac:dyDescent="0.4"/>
    <row r="731" ht="12" customHeight="1" x14ac:dyDescent="0.4"/>
    <row r="732" ht="12" customHeight="1" x14ac:dyDescent="0.4"/>
    <row r="733" ht="12" customHeight="1" x14ac:dyDescent="0.4"/>
    <row r="734" ht="12" customHeight="1" x14ac:dyDescent="0.4"/>
    <row r="735" ht="12" customHeight="1" x14ac:dyDescent="0.4"/>
    <row r="736" ht="12" customHeight="1" x14ac:dyDescent="0.4"/>
    <row r="737" ht="12" customHeight="1" x14ac:dyDescent="0.4"/>
    <row r="738" ht="12" customHeight="1" x14ac:dyDescent="0.4"/>
    <row r="739" ht="12" customHeight="1" x14ac:dyDescent="0.4"/>
    <row r="740" ht="12" customHeight="1" x14ac:dyDescent="0.4"/>
    <row r="741" ht="12" customHeight="1" x14ac:dyDescent="0.4"/>
    <row r="742" ht="12" customHeight="1" x14ac:dyDescent="0.4"/>
    <row r="743" ht="12" customHeight="1" x14ac:dyDescent="0.4"/>
    <row r="744" ht="12" customHeight="1" x14ac:dyDescent="0.4"/>
    <row r="745" ht="12" customHeight="1" x14ac:dyDescent="0.4"/>
    <row r="746" ht="12" customHeight="1" x14ac:dyDescent="0.4"/>
    <row r="747" ht="12" customHeight="1" x14ac:dyDescent="0.4"/>
    <row r="748" ht="12" customHeight="1" x14ac:dyDescent="0.4"/>
    <row r="749" ht="12" customHeight="1" x14ac:dyDescent="0.4"/>
    <row r="750" ht="12" customHeight="1" x14ac:dyDescent="0.4"/>
    <row r="751" ht="12" customHeight="1" x14ac:dyDescent="0.4"/>
    <row r="752" ht="12" customHeight="1" x14ac:dyDescent="0.4"/>
    <row r="753" ht="12" customHeight="1" x14ac:dyDescent="0.4"/>
    <row r="754" ht="12" customHeight="1" x14ac:dyDescent="0.4"/>
    <row r="755" ht="12" customHeight="1" x14ac:dyDescent="0.4"/>
    <row r="756" ht="12" customHeight="1" x14ac:dyDescent="0.4"/>
    <row r="757" ht="12" customHeight="1" x14ac:dyDescent="0.4"/>
    <row r="758" ht="12" customHeight="1" x14ac:dyDescent="0.4"/>
    <row r="759" ht="12" customHeight="1" x14ac:dyDescent="0.4"/>
    <row r="760" ht="12" customHeight="1" x14ac:dyDescent="0.4"/>
    <row r="761" ht="12" customHeight="1" x14ac:dyDescent="0.4"/>
    <row r="762" ht="12" customHeight="1" x14ac:dyDescent="0.4"/>
    <row r="763" ht="12" customHeight="1" x14ac:dyDescent="0.4"/>
    <row r="764" ht="12" customHeight="1" x14ac:dyDescent="0.4"/>
    <row r="765" ht="12" customHeight="1" x14ac:dyDescent="0.4"/>
    <row r="766" ht="12" customHeight="1" x14ac:dyDescent="0.4"/>
    <row r="767" ht="12" customHeight="1" x14ac:dyDescent="0.4"/>
    <row r="768" ht="12" customHeight="1" x14ac:dyDescent="0.4"/>
    <row r="769" ht="12" customHeight="1" x14ac:dyDescent="0.4"/>
    <row r="770" ht="12" customHeight="1" x14ac:dyDescent="0.4"/>
    <row r="771" ht="12" customHeight="1" x14ac:dyDescent="0.4"/>
    <row r="772" ht="12" customHeight="1" x14ac:dyDescent="0.4"/>
    <row r="773" ht="12" customHeight="1" x14ac:dyDescent="0.4"/>
    <row r="774" ht="12" customHeight="1" x14ac:dyDescent="0.4"/>
    <row r="775" ht="12" customHeight="1" x14ac:dyDescent="0.4"/>
    <row r="776" ht="12" customHeight="1" x14ac:dyDescent="0.4"/>
    <row r="777" ht="12" customHeight="1" x14ac:dyDescent="0.4"/>
    <row r="778" ht="12" customHeight="1" x14ac:dyDescent="0.4"/>
    <row r="779" ht="12" customHeight="1" x14ac:dyDescent="0.4"/>
    <row r="780" ht="12" customHeight="1" x14ac:dyDescent="0.4"/>
    <row r="781" ht="12" customHeight="1" x14ac:dyDescent="0.4"/>
    <row r="782" ht="12" customHeight="1" x14ac:dyDescent="0.4"/>
    <row r="783" ht="12" customHeight="1" x14ac:dyDescent="0.4"/>
    <row r="784" ht="12" customHeight="1" x14ac:dyDescent="0.4"/>
    <row r="785" ht="12" customHeight="1" x14ac:dyDescent="0.4"/>
    <row r="786" ht="12" customHeight="1" x14ac:dyDescent="0.4"/>
    <row r="787" ht="12" customHeight="1" x14ac:dyDescent="0.4"/>
    <row r="788" ht="12" customHeight="1" x14ac:dyDescent="0.4"/>
    <row r="789" ht="12" customHeight="1" x14ac:dyDescent="0.4"/>
    <row r="790" ht="12" customHeight="1" x14ac:dyDescent="0.4"/>
    <row r="791" ht="12" customHeight="1" x14ac:dyDescent="0.4"/>
    <row r="792" ht="12" customHeight="1" x14ac:dyDescent="0.4"/>
    <row r="793" ht="12" customHeight="1" x14ac:dyDescent="0.4"/>
    <row r="794" ht="12" customHeight="1" x14ac:dyDescent="0.4"/>
    <row r="795" ht="12" customHeight="1" x14ac:dyDescent="0.4"/>
    <row r="796" ht="12" customHeight="1" x14ac:dyDescent="0.4"/>
    <row r="797" ht="12" customHeight="1" x14ac:dyDescent="0.4"/>
    <row r="798" ht="12" customHeight="1" x14ac:dyDescent="0.4"/>
    <row r="799" ht="12" customHeight="1" x14ac:dyDescent="0.4"/>
    <row r="800" ht="12" customHeight="1" x14ac:dyDescent="0.4"/>
    <row r="801" ht="12" customHeight="1" x14ac:dyDescent="0.4"/>
    <row r="802" ht="12" customHeight="1" x14ac:dyDescent="0.4"/>
    <row r="803" ht="12" customHeight="1" x14ac:dyDescent="0.4"/>
    <row r="804" ht="12" customHeight="1" x14ac:dyDescent="0.4"/>
    <row r="805" ht="12" customHeight="1" x14ac:dyDescent="0.4"/>
    <row r="806" ht="12" customHeight="1" x14ac:dyDescent="0.4"/>
    <row r="807" ht="12" customHeight="1" x14ac:dyDescent="0.4"/>
    <row r="808" ht="12" customHeight="1" x14ac:dyDescent="0.4"/>
    <row r="809" ht="12" customHeight="1" x14ac:dyDescent="0.4"/>
    <row r="810" ht="12" customHeight="1" x14ac:dyDescent="0.4"/>
    <row r="811" ht="12" customHeight="1" x14ac:dyDescent="0.4"/>
    <row r="812" ht="12" customHeight="1" x14ac:dyDescent="0.4"/>
    <row r="813" ht="12" customHeight="1" x14ac:dyDescent="0.4"/>
    <row r="814" ht="12" customHeight="1" x14ac:dyDescent="0.4"/>
    <row r="815" ht="12" customHeight="1" x14ac:dyDescent="0.4"/>
    <row r="816" ht="12" customHeight="1" x14ac:dyDescent="0.4"/>
    <row r="817" ht="12" customHeight="1" x14ac:dyDescent="0.4"/>
    <row r="818" ht="12" customHeight="1" x14ac:dyDescent="0.4"/>
    <row r="819" ht="12" customHeight="1" x14ac:dyDescent="0.4"/>
    <row r="820" ht="12" customHeight="1" x14ac:dyDescent="0.4"/>
    <row r="821" ht="12" customHeight="1" x14ac:dyDescent="0.4"/>
    <row r="822" ht="12" customHeight="1" x14ac:dyDescent="0.4"/>
    <row r="823" ht="12" customHeight="1" x14ac:dyDescent="0.4"/>
    <row r="824" ht="12" customHeight="1" x14ac:dyDescent="0.4"/>
    <row r="825" ht="12" customHeight="1" x14ac:dyDescent="0.4"/>
    <row r="826" ht="12" customHeight="1" x14ac:dyDescent="0.4"/>
    <row r="827" ht="12" customHeight="1" x14ac:dyDescent="0.4"/>
    <row r="828" ht="12" customHeight="1" x14ac:dyDescent="0.4"/>
    <row r="829" ht="12" customHeight="1" x14ac:dyDescent="0.4"/>
    <row r="830" ht="12" customHeight="1" x14ac:dyDescent="0.4"/>
    <row r="831" ht="12" customHeight="1" x14ac:dyDescent="0.4"/>
    <row r="832" ht="12" customHeight="1" x14ac:dyDescent="0.4"/>
    <row r="833" ht="12" customHeight="1" x14ac:dyDescent="0.4"/>
    <row r="834" ht="12" customHeight="1" x14ac:dyDescent="0.4"/>
    <row r="835" ht="12" customHeight="1" x14ac:dyDescent="0.4"/>
    <row r="836" ht="12" customHeight="1" x14ac:dyDescent="0.4"/>
    <row r="837" ht="12" customHeight="1" x14ac:dyDescent="0.4"/>
    <row r="838" ht="12" customHeight="1" x14ac:dyDescent="0.4"/>
    <row r="839" ht="12" customHeight="1" x14ac:dyDescent="0.4"/>
    <row r="840" ht="12" customHeight="1" x14ac:dyDescent="0.4"/>
    <row r="841" ht="12" customHeight="1" x14ac:dyDescent="0.4"/>
    <row r="842" ht="12" customHeight="1" x14ac:dyDescent="0.4"/>
    <row r="843" ht="12" customHeight="1" x14ac:dyDescent="0.4"/>
    <row r="844" ht="12" customHeight="1" x14ac:dyDescent="0.4"/>
    <row r="845" ht="12" customHeight="1" x14ac:dyDescent="0.4"/>
    <row r="846" ht="12" customHeight="1" x14ac:dyDescent="0.4"/>
    <row r="847" ht="12" customHeight="1" x14ac:dyDescent="0.4"/>
    <row r="848" ht="12" customHeight="1" x14ac:dyDescent="0.4"/>
    <row r="849" ht="12" customHeight="1" x14ac:dyDescent="0.4"/>
    <row r="850" ht="12" customHeight="1" x14ac:dyDescent="0.4"/>
    <row r="851" ht="12" customHeight="1" x14ac:dyDescent="0.4"/>
    <row r="852" ht="12" customHeight="1" x14ac:dyDescent="0.4"/>
    <row r="853" ht="12" customHeight="1" x14ac:dyDescent="0.4"/>
    <row r="854" ht="12" customHeight="1" x14ac:dyDescent="0.4"/>
    <row r="855" ht="12" customHeight="1" x14ac:dyDescent="0.4"/>
    <row r="856" ht="12" customHeight="1" x14ac:dyDescent="0.4"/>
    <row r="857" ht="12" customHeight="1" x14ac:dyDescent="0.4"/>
    <row r="858" ht="12" customHeight="1" x14ac:dyDescent="0.4"/>
    <row r="859" ht="12" customHeight="1" x14ac:dyDescent="0.4"/>
    <row r="860" ht="12" customHeight="1" x14ac:dyDescent="0.4"/>
    <row r="861" ht="12" customHeight="1" x14ac:dyDescent="0.4"/>
    <row r="862" ht="12" customHeight="1" x14ac:dyDescent="0.4"/>
    <row r="863" ht="12" customHeight="1" x14ac:dyDescent="0.4"/>
    <row r="864" ht="12" customHeight="1" x14ac:dyDescent="0.4"/>
    <row r="865" ht="12" customHeight="1" x14ac:dyDescent="0.4"/>
    <row r="866" ht="12" customHeight="1" x14ac:dyDescent="0.4"/>
    <row r="867" ht="12" customHeight="1" x14ac:dyDescent="0.4"/>
    <row r="868" ht="12" customHeight="1" x14ac:dyDescent="0.4"/>
    <row r="869" ht="12" customHeight="1" x14ac:dyDescent="0.4"/>
    <row r="870" ht="12" customHeight="1" x14ac:dyDescent="0.4"/>
    <row r="871" ht="12" customHeight="1" x14ac:dyDescent="0.4"/>
    <row r="872" ht="12" customHeight="1" x14ac:dyDescent="0.4"/>
    <row r="873" ht="12" customHeight="1" x14ac:dyDescent="0.4"/>
    <row r="874" ht="12" customHeight="1" x14ac:dyDescent="0.4"/>
    <row r="875" ht="12" customHeight="1" x14ac:dyDescent="0.4"/>
    <row r="876" ht="12" customHeight="1" x14ac:dyDescent="0.4"/>
    <row r="877" ht="12" customHeight="1" x14ac:dyDescent="0.4"/>
    <row r="878" ht="12" customHeight="1" x14ac:dyDescent="0.4"/>
    <row r="879" ht="12" customHeight="1" x14ac:dyDescent="0.4"/>
    <row r="880" ht="12" customHeight="1" x14ac:dyDescent="0.4"/>
    <row r="881" ht="12" customHeight="1" x14ac:dyDescent="0.4"/>
    <row r="882" ht="12" customHeight="1" x14ac:dyDescent="0.4"/>
    <row r="883" ht="12" customHeight="1" x14ac:dyDescent="0.4"/>
    <row r="884" ht="12" customHeight="1" x14ac:dyDescent="0.4"/>
    <row r="885" ht="12" customHeight="1" x14ac:dyDescent="0.4"/>
    <row r="886" ht="12" customHeight="1" x14ac:dyDescent="0.4"/>
    <row r="887" ht="12" customHeight="1" x14ac:dyDescent="0.4"/>
    <row r="888" ht="12" customHeight="1" x14ac:dyDescent="0.4"/>
    <row r="889" ht="12" customHeight="1" x14ac:dyDescent="0.4"/>
    <row r="890" ht="12" customHeight="1" x14ac:dyDescent="0.4"/>
    <row r="891" ht="12" customHeight="1" x14ac:dyDescent="0.4"/>
    <row r="892" ht="12" customHeight="1" x14ac:dyDescent="0.4"/>
    <row r="893" ht="12" customHeight="1" x14ac:dyDescent="0.4"/>
    <row r="894" ht="12" customHeight="1" x14ac:dyDescent="0.4"/>
    <row r="895" ht="12" customHeight="1" x14ac:dyDescent="0.4"/>
    <row r="896" ht="12" customHeight="1" x14ac:dyDescent="0.4"/>
    <row r="897" ht="12" customHeight="1" x14ac:dyDescent="0.4"/>
    <row r="898" ht="12" customHeight="1" x14ac:dyDescent="0.4"/>
    <row r="899" ht="12" customHeight="1" x14ac:dyDescent="0.4"/>
    <row r="900" ht="12" customHeight="1" x14ac:dyDescent="0.4"/>
    <row r="901" ht="12" customHeight="1" x14ac:dyDescent="0.4"/>
    <row r="902" ht="12" customHeight="1" x14ac:dyDescent="0.4"/>
    <row r="903" ht="12" customHeight="1" x14ac:dyDescent="0.4"/>
    <row r="904" ht="12" customHeight="1" x14ac:dyDescent="0.4"/>
    <row r="905" ht="12" customHeight="1" x14ac:dyDescent="0.4"/>
    <row r="906" ht="12" customHeight="1" x14ac:dyDescent="0.4"/>
    <row r="907" ht="12" customHeight="1" x14ac:dyDescent="0.4"/>
    <row r="908" ht="12" customHeight="1" x14ac:dyDescent="0.4"/>
    <row r="909" ht="12" customHeight="1" x14ac:dyDescent="0.4"/>
    <row r="910" ht="12" customHeight="1" x14ac:dyDescent="0.4"/>
    <row r="911" ht="12" customHeight="1" x14ac:dyDescent="0.4"/>
    <row r="912" ht="12" customHeight="1" x14ac:dyDescent="0.4"/>
    <row r="913" ht="12" customHeight="1" x14ac:dyDescent="0.4"/>
    <row r="914" ht="12" customHeight="1" x14ac:dyDescent="0.4"/>
    <row r="915" ht="12" customHeight="1" x14ac:dyDescent="0.4"/>
    <row r="916" ht="12" customHeight="1" x14ac:dyDescent="0.4"/>
    <row r="917" ht="12" customHeight="1" x14ac:dyDescent="0.4"/>
    <row r="918" ht="12" customHeight="1" x14ac:dyDescent="0.4"/>
    <row r="919" ht="12" customHeight="1" x14ac:dyDescent="0.4"/>
    <row r="920" ht="12" customHeight="1" x14ac:dyDescent="0.4"/>
    <row r="921" ht="12" customHeight="1" x14ac:dyDescent="0.4"/>
    <row r="922" ht="12" customHeight="1" x14ac:dyDescent="0.4"/>
    <row r="923" ht="12" customHeight="1" x14ac:dyDescent="0.4"/>
    <row r="924" ht="12" customHeight="1" x14ac:dyDescent="0.4"/>
    <row r="925" ht="12" customHeight="1" x14ac:dyDescent="0.4"/>
    <row r="926" ht="12" customHeight="1" x14ac:dyDescent="0.4"/>
    <row r="927" ht="12" customHeight="1" x14ac:dyDescent="0.4"/>
    <row r="928" ht="12" customHeight="1" x14ac:dyDescent="0.4"/>
    <row r="929" ht="12" customHeight="1" x14ac:dyDescent="0.4"/>
    <row r="930" ht="12" customHeight="1" x14ac:dyDescent="0.4"/>
    <row r="931" ht="12" customHeight="1" x14ac:dyDescent="0.4"/>
    <row r="932" ht="12" customHeight="1" x14ac:dyDescent="0.4"/>
    <row r="933" ht="12" customHeight="1" x14ac:dyDescent="0.4"/>
    <row r="934" ht="12" customHeight="1" x14ac:dyDescent="0.4"/>
    <row r="935" ht="12" customHeight="1" x14ac:dyDescent="0.4"/>
    <row r="936" ht="12" customHeight="1" x14ac:dyDescent="0.4"/>
    <row r="937" ht="12" customHeight="1" x14ac:dyDescent="0.4"/>
    <row r="938" ht="12" customHeight="1" x14ac:dyDescent="0.4"/>
    <row r="939" ht="12" customHeight="1" x14ac:dyDescent="0.4"/>
    <row r="940" ht="12" customHeight="1" x14ac:dyDescent="0.4"/>
    <row r="941" ht="12" customHeight="1" x14ac:dyDescent="0.4"/>
    <row r="942" ht="12" customHeight="1" x14ac:dyDescent="0.4"/>
    <row r="943" ht="12" customHeight="1" x14ac:dyDescent="0.4"/>
    <row r="944" ht="12" customHeight="1" x14ac:dyDescent="0.4"/>
    <row r="945" ht="12" customHeight="1" x14ac:dyDescent="0.4"/>
    <row r="946" ht="12" customHeight="1" x14ac:dyDescent="0.4"/>
    <row r="947" ht="12" customHeight="1" x14ac:dyDescent="0.4"/>
    <row r="948" ht="12" customHeight="1" x14ac:dyDescent="0.4"/>
    <row r="949" ht="12" customHeight="1" x14ac:dyDescent="0.4"/>
    <row r="950" ht="12" customHeight="1" x14ac:dyDescent="0.4"/>
    <row r="951" ht="12" customHeight="1" x14ac:dyDescent="0.4"/>
    <row r="952" ht="12" customHeight="1" x14ac:dyDescent="0.4"/>
    <row r="953" ht="12" customHeight="1" x14ac:dyDescent="0.4"/>
    <row r="954" ht="12" customHeight="1" x14ac:dyDescent="0.4"/>
    <row r="955" ht="12" customHeight="1" x14ac:dyDescent="0.4"/>
    <row r="956" ht="12" customHeight="1" x14ac:dyDescent="0.4"/>
    <row r="957" ht="12" customHeight="1" x14ac:dyDescent="0.4"/>
    <row r="958" ht="12" customHeight="1" x14ac:dyDescent="0.4"/>
    <row r="959" ht="12" customHeight="1" x14ac:dyDescent="0.4"/>
    <row r="960" ht="12" customHeight="1" x14ac:dyDescent="0.4"/>
    <row r="961" ht="12" customHeight="1" x14ac:dyDescent="0.4"/>
    <row r="962" ht="12" customHeight="1" x14ac:dyDescent="0.4"/>
    <row r="963" ht="12" customHeight="1" x14ac:dyDescent="0.4"/>
    <row r="964" ht="12" customHeight="1" x14ac:dyDescent="0.4"/>
    <row r="965" ht="12" customHeight="1" x14ac:dyDescent="0.4"/>
    <row r="966" ht="12" customHeight="1" x14ac:dyDescent="0.4"/>
    <row r="967" ht="12" customHeight="1" x14ac:dyDescent="0.4"/>
    <row r="968" ht="12" customHeight="1" x14ac:dyDescent="0.4"/>
    <row r="969" ht="12" customHeight="1" x14ac:dyDescent="0.4"/>
    <row r="970" ht="12" customHeight="1" x14ac:dyDescent="0.4"/>
    <row r="971" ht="12" customHeight="1" x14ac:dyDescent="0.4"/>
    <row r="972" ht="12" customHeight="1" x14ac:dyDescent="0.4"/>
    <row r="973" ht="12" customHeight="1" x14ac:dyDescent="0.4"/>
    <row r="974" ht="12" customHeight="1" x14ac:dyDescent="0.4"/>
    <row r="975" ht="12" customHeight="1" x14ac:dyDescent="0.4"/>
    <row r="976" ht="12" customHeight="1" x14ac:dyDescent="0.4"/>
    <row r="977" ht="12" customHeight="1" x14ac:dyDescent="0.4"/>
    <row r="978" ht="12" customHeight="1" x14ac:dyDescent="0.4"/>
    <row r="979" ht="12" customHeight="1" x14ac:dyDescent="0.4"/>
    <row r="980" ht="12" customHeight="1" x14ac:dyDescent="0.4"/>
    <row r="981" ht="12" customHeight="1" x14ac:dyDescent="0.4"/>
    <row r="982" ht="12" customHeight="1" x14ac:dyDescent="0.4"/>
    <row r="983" ht="12" customHeight="1" x14ac:dyDescent="0.4"/>
    <row r="984" ht="12" customHeight="1" x14ac:dyDescent="0.4"/>
    <row r="985" ht="12" customHeight="1" x14ac:dyDescent="0.4"/>
    <row r="986" ht="12" customHeight="1" x14ac:dyDescent="0.4"/>
    <row r="987" ht="12" customHeight="1" x14ac:dyDescent="0.4"/>
    <row r="988" ht="12" customHeight="1" x14ac:dyDescent="0.4"/>
    <row r="989" ht="12" customHeight="1" x14ac:dyDescent="0.4"/>
    <row r="990" ht="12" customHeight="1" x14ac:dyDescent="0.4"/>
    <row r="991" ht="12" customHeight="1" x14ac:dyDescent="0.4"/>
    <row r="992" ht="12" customHeight="1" x14ac:dyDescent="0.4"/>
    <row r="993" ht="12" customHeight="1" x14ac:dyDescent="0.4"/>
    <row r="994" ht="12" customHeight="1" x14ac:dyDescent="0.4"/>
    <row r="995" ht="12" customHeight="1" x14ac:dyDescent="0.4"/>
    <row r="996" ht="12" customHeight="1" x14ac:dyDescent="0.4"/>
    <row r="997" ht="12" customHeight="1" x14ac:dyDescent="0.4"/>
    <row r="998" ht="12" customHeight="1" x14ac:dyDescent="0.4"/>
    <row r="999" ht="12" customHeight="1" x14ac:dyDescent="0.4"/>
    <row r="1000" ht="12" customHeight="1" x14ac:dyDescent="0.4"/>
    <row r="1001" ht="12" customHeight="1" x14ac:dyDescent="0.4"/>
    <row r="1002" ht="12" customHeight="1" x14ac:dyDescent="0.4"/>
    <row r="1003" ht="12" customHeight="1" x14ac:dyDescent="0.4"/>
  </sheetData>
  <mergeCells count="3">
    <mergeCell ref="J5:O5"/>
    <mergeCell ref="J16:O16"/>
    <mergeCell ref="J30:O30"/>
  </mergeCells>
  <pageMargins left="0.75" right="0.75" top="1" bottom="1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J974"/>
  <sheetViews>
    <sheetView tabSelected="1" zoomScale="80" zoomScaleNormal="80" workbookViewId="0">
      <selection activeCell="J10" sqref="J10"/>
    </sheetView>
  </sheetViews>
  <sheetFormatPr defaultColWidth="14.44140625" defaultRowHeight="15" customHeight="1" x14ac:dyDescent="0.4"/>
  <cols>
    <col min="1" max="1" width="16.109375" customWidth="1"/>
    <col min="2" max="2" width="18.71875" customWidth="1"/>
    <col min="3" max="3" width="17.44140625" customWidth="1"/>
    <col min="4" max="4" width="16.71875" customWidth="1"/>
    <col min="5" max="5" width="10.5" bestFit="1" customWidth="1"/>
    <col min="6" max="6" width="8.71875" customWidth="1"/>
    <col min="7" max="7" width="53.71875" customWidth="1"/>
    <col min="8" max="27" width="8.71875" customWidth="1"/>
  </cols>
  <sheetData>
    <row r="1" spans="1:10" ht="12" customHeight="1" x14ac:dyDescent="0.4"/>
    <row r="2" spans="1:10" ht="12" customHeight="1" x14ac:dyDescent="0.4">
      <c r="A2" s="62"/>
      <c r="B2" s="63" t="s">
        <v>53</v>
      </c>
      <c r="C2" s="44"/>
      <c r="D2" s="44"/>
      <c r="E2" s="44"/>
      <c r="F2" s="79" t="s">
        <v>90</v>
      </c>
      <c r="G2" s="64" t="s">
        <v>54</v>
      </c>
    </row>
    <row r="3" spans="1:10" ht="12" customHeight="1" x14ac:dyDescent="0.5">
      <c r="A3" s="65" t="s">
        <v>55</v>
      </c>
      <c r="B3" s="66" t="s">
        <v>56</v>
      </c>
      <c r="C3" s="66" t="s">
        <v>57</v>
      </c>
      <c r="D3" s="66" t="s">
        <v>58</v>
      </c>
      <c r="E3" s="66" t="s">
        <v>92</v>
      </c>
      <c r="G3" s="64" t="s">
        <v>59</v>
      </c>
    </row>
    <row r="4" spans="1:10" ht="12" customHeight="1" x14ac:dyDescent="0.5">
      <c r="A4" s="84" t="s">
        <v>60</v>
      </c>
      <c r="B4" s="68">
        <v>39.845465868065148</v>
      </c>
      <c r="C4" s="68">
        <v>89.971542082178573</v>
      </c>
      <c r="D4" s="68">
        <v>11.694644110276897</v>
      </c>
      <c r="E4" s="90">
        <f>_xlfn.VAR.P(B4:D4)</f>
        <v>1048.0405598183747</v>
      </c>
      <c r="F4" s="76"/>
      <c r="G4" s="70"/>
      <c r="H4" s="76"/>
      <c r="I4" s="76"/>
      <c r="J4" s="76"/>
    </row>
    <row r="5" spans="1:10" ht="12" customHeight="1" x14ac:dyDescent="0.5">
      <c r="A5" s="67" t="s">
        <v>80</v>
      </c>
      <c r="B5" s="68">
        <v>99.33854698097781</v>
      </c>
      <c r="C5" s="68">
        <v>89.612423336106616</v>
      </c>
      <c r="D5" s="68">
        <v>81.232819652866368</v>
      </c>
      <c r="E5" s="90">
        <f>_xlfn.VAR.P(B5:D5)</f>
        <v>54.736955680379729</v>
      </c>
      <c r="F5" s="76"/>
      <c r="G5" s="70" t="s">
        <v>62</v>
      </c>
      <c r="H5" s="87" t="s">
        <v>60</v>
      </c>
      <c r="I5" s="88" t="s">
        <v>80</v>
      </c>
      <c r="J5" s="85" t="s">
        <v>76</v>
      </c>
    </row>
    <row r="6" spans="1:10" ht="12" customHeight="1" x14ac:dyDescent="0.5">
      <c r="A6" s="68" t="s">
        <v>76</v>
      </c>
      <c r="B6" s="68">
        <v>91.333354400159578</v>
      </c>
      <c r="C6" s="68">
        <v>77.295442106602806</v>
      </c>
      <c r="D6" s="68">
        <v>45.808308181791055</v>
      </c>
      <c r="E6" s="90">
        <f>_xlfn.VAR.P(B6:D6)</f>
        <v>362.33693528280128</v>
      </c>
      <c r="F6" s="76"/>
      <c r="G6" s="70" t="s">
        <v>64</v>
      </c>
      <c r="H6" s="88" t="s">
        <v>80</v>
      </c>
      <c r="I6" s="85" t="s">
        <v>61</v>
      </c>
      <c r="J6" s="85" t="s">
        <v>76</v>
      </c>
    </row>
    <row r="7" spans="1:10" ht="12" customHeight="1" x14ac:dyDescent="0.5">
      <c r="A7" s="68" t="s">
        <v>77</v>
      </c>
      <c r="B7" s="68">
        <v>50.068248163347342</v>
      </c>
      <c r="C7" s="68">
        <v>71.179445531780416</v>
      </c>
      <c r="D7" s="68">
        <v>64.768953877431187</v>
      </c>
      <c r="E7" s="90">
        <f>_xlfn.VAR.P(B7:D7)</f>
        <v>78.098645119056329</v>
      </c>
      <c r="F7" s="76"/>
      <c r="G7" s="70" t="s">
        <v>66</v>
      </c>
      <c r="H7" s="88" t="s">
        <v>81</v>
      </c>
      <c r="I7" s="85" t="s">
        <v>63</v>
      </c>
      <c r="J7" s="85" t="s">
        <v>70</v>
      </c>
    </row>
    <row r="8" spans="1:10" ht="12" customHeight="1" x14ac:dyDescent="0.5">
      <c r="A8" s="68" t="s">
        <v>63</v>
      </c>
      <c r="B8" s="68">
        <v>85.372562328454222</v>
      </c>
      <c r="C8" s="68">
        <v>62.95001259566866</v>
      </c>
      <c r="D8" s="68">
        <v>83.908906509379349</v>
      </c>
      <c r="E8" s="90">
        <f>_xlfn.VAR.P(B8:D8)</f>
        <v>104.90980655134869</v>
      </c>
      <c r="F8" s="76"/>
      <c r="G8" s="70"/>
      <c r="I8" s="76"/>
      <c r="J8" s="76"/>
    </row>
    <row r="9" spans="1:10" ht="12" customHeight="1" x14ac:dyDescent="0.5">
      <c r="A9" s="68" t="s">
        <v>72</v>
      </c>
      <c r="B9" s="68">
        <v>7.7093899066492666</v>
      </c>
      <c r="C9" s="68">
        <v>59.097776411011296</v>
      </c>
      <c r="D9" s="68">
        <v>38.039856953637852</v>
      </c>
      <c r="E9" s="90">
        <f>_xlfn.VAR.P(B9:D9)</f>
        <v>444.90438563148723</v>
      </c>
      <c r="F9" s="76"/>
      <c r="G9" s="70" t="s">
        <v>69</v>
      </c>
      <c r="H9" s="71">
        <f>AVERAGE(B4:B19)</f>
        <v>42.548412984774707</v>
      </c>
    </row>
    <row r="10" spans="1:10" ht="12" customHeight="1" x14ac:dyDescent="0.5">
      <c r="A10" s="68" t="s">
        <v>65</v>
      </c>
      <c r="B10" s="68">
        <v>53.357935580478276</v>
      </c>
      <c r="C10" s="68">
        <v>54.047271427778398</v>
      </c>
      <c r="D10" s="68">
        <v>27.065754562639498</v>
      </c>
      <c r="E10" s="90">
        <f>_xlfn.VAR.P(B10:D10)</f>
        <v>157.75069099210467</v>
      </c>
      <c r="F10" s="76"/>
      <c r="G10" s="72" t="s">
        <v>71</v>
      </c>
      <c r="H10" s="92" t="s">
        <v>61</v>
      </c>
      <c r="I10" s="92" t="s">
        <v>81</v>
      </c>
      <c r="J10" s="92" t="s">
        <v>60</v>
      </c>
    </row>
    <row r="11" spans="1:10" ht="12" customHeight="1" x14ac:dyDescent="0.5">
      <c r="A11" s="68" t="s">
        <v>68</v>
      </c>
      <c r="B11" s="68">
        <v>6.078730696247991</v>
      </c>
      <c r="C11" s="68">
        <v>50.102492391879949</v>
      </c>
      <c r="D11" s="68">
        <v>77.700893445754019</v>
      </c>
      <c r="E11" s="90">
        <f>_xlfn.VAR.P(B11:D11)</f>
        <v>869.94417016455554</v>
      </c>
      <c r="F11" s="76"/>
      <c r="G11" s="70"/>
      <c r="H11" s="68"/>
    </row>
    <row r="12" spans="1:10" ht="12" customHeight="1" x14ac:dyDescent="0.5">
      <c r="A12" s="68" t="s">
        <v>67</v>
      </c>
      <c r="B12" s="68">
        <v>34.712239999735004</v>
      </c>
      <c r="C12" s="68">
        <v>46.664029884263073</v>
      </c>
      <c r="D12" s="68">
        <v>15.72159798045093</v>
      </c>
      <c r="E12" s="90">
        <f>_xlfn.VAR.P(B12:D12)</f>
        <v>162.32487309672877</v>
      </c>
      <c r="F12" s="76"/>
      <c r="G12" s="68"/>
      <c r="H12" s="68"/>
    </row>
    <row r="13" spans="1:10" ht="24.6" customHeight="1" x14ac:dyDescent="0.5">
      <c r="A13" s="67" t="s">
        <v>81</v>
      </c>
      <c r="B13" s="68">
        <v>12.069299883627471</v>
      </c>
      <c r="C13" s="68">
        <v>44.069327582830823</v>
      </c>
      <c r="D13" s="68">
        <v>91.442098663960408</v>
      </c>
      <c r="E13" s="90">
        <f>_xlfn.VAR.P(B13:D13)</f>
        <v>1063.1358220975683</v>
      </c>
      <c r="F13" s="76"/>
      <c r="G13" s="73" t="s">
        <v>75</v>
      </c>
      <c r="H13" s="68"/>
    </row>
    <row r="14" spans="1:10" ht="12" customHeight="1" x14ac:dyDescent="0.5">
      <c r="A14" s="68" t="s">
        <v>73</v>
      </c>
      <c r="B14" s="68">
        <v>29.457490729504933</v>
      </c>
      <c r="C14" s="68">
        <v>39.166851245067782</v>
      </c>
      <c r="D14" s="68">
        <v>71.48170753313974</v>
      </c>
      <c r="E14" s="90">
        <f>_xlfn.VAR.P(B14:D14)</f>
        <v>322.72849072209124</v>
      </c>
      <c r="F14" s="76"/>
      <c r="H14" s="68"/>
    </row>
    <row r="15" spans="1:10" ht="12" customHeight="1" x14ac:dyDescent="0.5">
      <c r="A15" s="68" t="s">
        <v>74</v>
      </c>
      <c r="B15" s="68">
        <v>13.920540491346278</v>
      </c>
      <c r="C15" s="68">
        <v>29.022991605671312</v>
      </c>
      <c r="D15" s="68">
        <v>3.8810852872711576</v>
      </c>
      <c r="E15" s="90">
        <f>_xlfn.VAR.P(B15:D15)</f>
        <v>106.77668264204652</v>
      </c>
      <c r="F15" s="76"/>
      <c r="G15" s="105" t="s">
        <v>94</v>
      </c>
      <c r="H15" s="106"/>
      <c r="I15" s="106"/>
      <c r="J15" s="106"/>
    </row>
    <row r="16" spans="1:10" ht="12" customHeight="1" x14ac:dyDescent="0.5">
      <c r="A16" s="68" t="s">
        <v>70</v>
      </c>
      <c r="B16" s="68">
        <v>27.398893696288408</v>
      </c>
      <c r="C16" s="68">
        <v>20.581048864866524</v>
      </c>
      <c r="D16" s="68">
        <v>83.409836376352615</v>
      </c>
      <c r="E16" s="90">
        <f>_xlfn.VAR.P(B16:D16)</f>
        <v>792.35169424647268</v>
      </c>
      <c r="F16" s="76"/>
      <c r="G16" s="106"/>
      <c r="H16" s="106"/>
      <c r="I16" s="106"/>
      <c r="J16" s="106"/>
    </row>
    <row r="17" spans="1:10" ht="12" customHeight="1" x14ac:dyDescent="0.5">
      <c r="A17" s="68" t="s">
        <v>78</v>
      </c>
      <c r="B17" s="68">
        <v>35.192782678949996</v>
      </c>
      <c r="C17" s="68">
        <v>18.29523292648798</v>
      </c>
      <c r="D17" s="68">
        <v>12.076418128486488</v>
      </c>
      <c r="E17" s="90">
        <f>_xlfn.VAR.P(B17:D17)</f>
        <v>95.396350573188613</v>
      </c>
      <c r="F17" s="76"/>
      <c r="G17" s="107" t="s">
        <v>93</v>
      </c>
      <c r="H17" s="106"/>
      <c r="I17" s="106"/>
      <c r="J17" s="106"/>
    </row>
    <row r="18" spans="1:10" ht="12" customHeight="1" x14ac:dyDescent="0.5">
      <c r="A18" s="67" t="s">
        <v>79</v>
      </c>
      <c r="B18" s="69">
        <v>1.5337985660364151</v>
      </c>
      <c r="C18" s="68">
        <v>12.4019382218051</v>
      </c>
      <c r="D18" s="68">
        <v>64.52905851253486</v>
      </c>
      <c r="E18" s="90">
        <f>_xlfn.VAR.P(B18:D18)</f>
        <v>755.97287834537917</v>
      </c>
      <c r="F18" s="76"/>
      <c r="G18" s="106"/>
      <c r="H18" s="106"/>
      <c r="I18" s="106"/>
      <c r="J18" s="106"/>
    </row>
    <row r="19" spans="1:10" ht="12" customHeight="1" x14ac:dyDescent="0.5">
      <c r="A19" s="68" t="s">
        <v>61</v>
      </c>
      <c r="B19" s="68">
        <v>93.385327786527071</v>
      </c>
      <c r="C19" s="68">
        <v>6.5365777519873047</v>
      </c>
      <c r="D19" s="68">
        <v>49.882499658125582</v>
      </c>
      <c r="E19" s="90">
        <f>_xlfn.VAR.P(B19:D19)</f>
        <v>1257.1189315138056</v>
      </c>
      <c r="F19" s="76"/>
      <c r="G19" s="108" t="s">
        <v>95</v>
      </c>
      <c r="H19" s="106"/>
      <c r="I19" s="106"/>
      <c r="J19" s="106"/>
    </row>
    <row r="20" spans="1:10" ht="12" customHeight="1" x14ac:dyDescent="0.4">
      <c r="A20" s="91"/>
      <c r="B20" s="79" t="s">
        <v>90</v>
      </c>
      <c r="C20" s="91"/>
      <c r="D20" s="91"/>
      <c r="E20" s="91"/>
      <c r="G20" s="106"/>
      <c r="H20" s="106"/>
      <c r="I20" s="106"/>
      <c r="J20" s="106"/>
    </row>
    <row r="21" spans="1:10" ht="12" customHeight="1" x14ac:dyDescent="0.4">
      <c r="B21" s="86"/>
      <c r="C21" s="86"/>
      <c r="D21" s="86"/>
      <c r="G21" s="108" t="s">
        <v>96</v>
      </c>
      <c r="H21" s="106"/>
      <c r="I21" s="106"/>
      <c r="J21" s="106"/>
    </row>
    <row r="22" spans="1:10" ht="12" customHeight="1" x14ac:dyDescent="0.4">
      <c r="A22" s="86"/>
      <c r="B22" s="86"/>
      <c r="C22" s="86"/>
      <c r="D22" s="86"/>
    </row>
    <row r="23" spans="1:10" ht="12" customHeight="1" x14ac:dyDescent="0.4">
      <c r="A23" s="86"/>
      <c r="B23" s="86"/>
      <c r="C23" s="86"/>
      <c r="D23" s="86"/>
    </row>
    <row r="24" spans="1:10" ht="12" customHeight="1" x14ac:dyDescent="0.4">
      <c r="A24" s="86"/>
      <c r="B24" s="86"/>
      <c r="C24" s="86"/>
      <c r="D24" s="86"/>
      <c r="G24" s="76"/>
    </row>
    <row r="25" spans="1:10" ht="12" customHeight="1" x14ac:dyDescent="0.4">
      <c r="A25" s="86"/>
      <c r="B25" s="86"/>
      <c r="C25" s="86"/>
      <c r="D25" s="86"/>
      <c r="G25" s="76"/>
    </row>
    <row r="26" spans="1:10" ht="12" customHeight="1" x14ac:dyDescent="0.4">
      <c r="A26" s="86"/>
      <c r="B26" s="86"/>
      <c r="C26" s="86"/>
      <c r="D26" s="86"/>
      <c r="G26" s="76"/>
    </row>
    <row r="27" spans="1:10" ht="12" customHeight="1" x14ac:dyDescent="0.4">
      <c r="A27" s="86"/>
      <c r="B27" s="86"/>
      <c r="C27" s="86"/>
      <c r="D27" s="86"/>
      <c r="G27" s="76"/>
    </row>
    <row r="28" spans="1:10" ht="12" customHeight="1" x14ac:dyDescent="0.4">
      <c r="A28" s="86"/>
      <c r="B28" s="86"/>
      <c r="C28" s="86"/>
      <c r="D28" s="86"/>
      <c r="G28" s="76"/>
    </row>
    <row r="29" spans="1:10" ht="12" customHeight="1" x14ac:dyDescent="0.4">
      <c r="A29" s="86"/>
      <c r="B29" s="86"/>
      <c r="C29" s="86"/>
      <c r="D29" s="86"/>
      <c r="G29" s="76"/>
    </row>
    <row r="30" spans="1:10" ht="12" customHeight="1" x14ac:dyDescent="0.4">
      <c r="A30" s="86"/>
      <c r="B30" s="86"/>
      <c r="C30" s="86"/>
      <c r="D30" s="86"/>
      <c r="G30" s="79" t="s">
        <v>90</v>
      </c>
    </row>
    <row r="31" spans="1:10" ht="12" customHeight="1" x14ac:dyDescent="0.4">
      <c r="A31" s="86"/>
      <c r="B31" s="86"/>
      <c r="C31" s="86"/>
      <c r="D31" s="86"/>
      <c r="G31" s="76"/>
    </row>
    <row r="32" spans="1:10" ht="12" customHeight="1" x14ac:dyDescent="0.4">
      <c r="A32" s="86"/>
      <c r="B32" s="86"/>
      <c r="C32" s="86"/>
      <c r="D32" s="86"/>
      <c r="G32" s="76"/>
    </row>
    <row r="33" spans="1:7" ht="12" customHeight="1" x14ac:dyDescent="0.4">
      <c r="A33" s="86"/>
      <c r="B33" s="86"/>
      <c r="C33" s="86"/>
      <c r="D33" s="86"/>
      <c r="G33" s="76"/>
    </row>
    <row r="34" spans="1:7" ht="12" customHeight="1" x14ac:dyDescent="0.4">
      <c r="A34" s="86"/>
      <c r="B34" s="86"/>
      <c r="C34" s="86"/>
      <c r="D34" s="86"/>
    </row>
    <row r="35" spans="1:7" ht="12" customHeight="1" x14ac:dyDescent="0.4">
      <c r="A35" s="86"/>
      <c r="B35" s="86"/>
      <c r="C35" s="86"/>
      <c r="D35" s="86"/>
    </row>
    <row r="36" spans="1:7" ht="12" customHeight="1" x14ac:dyDescent="0.4">
      <c r="A36" s="86"/>
      <c r="B36" s="86"/>
      <c r="C36" s="86"/>
      <c r="D36" s="86"/>
    </row>
    <row r="37" spans="1:7" ht="12" customHeight="1" x14ac:dyDescent="0.4">
      <c r="A37" s="86"/>
      <c r="B37" s="86"/>
      <c r="C37" s="86"/>
      <c r="D37" s="86"/>
    </row>
    <row r="38" spans="1:7" ht="12" customHeight="1" x14ac:dyDescent="0.4">
      <c r="A38" s="86"/>
      <c r="B38" s="86"/>
      <c r="C38" s="86"/>
      <c r="D38" s="86"/>
    </row>
    <row r="39" spans="1:7" ht="12" customHeight="1" x14ac:dyDescent="0.4">
      <c r="A39" s="86"/>
      <c r="B39" s="86"/>
      <c r="C39" s="86"/>
      <c r="D39" s="86"/>
    </row>
    <row r="40" spans="1:7" ht="12" customHeight="1" x14ac:dyDescent="0.4">
      <c r="A40" s="86"/>
      <c r="B40" s="86"/>
      <c r="C40" s="86"/>
      <c r="D40" s="86"/>
    </row>
    <row r="41" spans="1:7" ht="12" customHeight="1" x14ac:dyDescent="0.4">
      <c r="A41" s="86"/>
      <c r="B41" s="86"/>
      <c r="C41" s="86"/>
      <c r="D41" s="86"/>
    </row>
    <row r="42" spans="1:7" ht="12" customHeight="1" x14ac:dyDescent="0.4">
      <c r="A42" s="86"/>
      <c r="B42" s="86"/>
      <c r="C42" s="86"/>
      <c r="D42" s="86"/>
    </row>
    <row r="43" spans="1:7" ht="12" customHeight="1" x14ac:dyDescent="0.4">
      <c r="A43" s="86"/>
      <c r="B43" s="86"/>
      <c r="C43" s="86"/>
      <c r="D43" s="86"/>
    </row>
    <row r="44" spans="1:7" ht="12" customHeight="1" x14ac:dyDescent="0.4">
      <c r="A44" s="86"/>
      <c r="B44" s="86"/>
      <c r="C44" s="86"/>
      <c r="D44" s="86"/>
    </row>
    <row r="45" spans="1:7" ht="12" customHeight="1" x14ac:dyDescent="0.4">
      <c r="A45" s="86"/>
      <c r="B45" s="86"/>
      <c r="C45" s="86"/>
      <c r="D45" s="86"/>
    </row>
    <row r="46" spans="1:7" ht="12" customHeight="1" x14ac:dyDescent="0.4"/>
    <row r="47" spans="1:7" ht="12" customHeight="1" x14ac:dyDescent="0.4"/>
    <row r="48" spans="1:7" ht="12" customHeight="1" x14ac:dyDescent="0.4"/>
    <row r="49" ht="12" customHeight="1" x14ac:dyDescent="0.4"/>
    <row r="50" ht="12" customHeight="1" x14ac:dyDescent="0.4"/>
    <row r="51" ht="12" customHeight="1" x14ac:dyDescent="0.4"/>
    <row r="52" ht="12" customHeight="1" x14ac:dyDescent="0.4"/>
    <row r="53" ht="12" customHeight="1" x14ac:dyDescent="0.4"/>
    <row r="54" ht="12" customHeight="1" x14ac:dyDescent="0.4"/>
    <row r="55" ht="12" customHeight="1" x14ac:dyDescent="0.4"/>
    <row r="56" ht="12" customHeight="1" x14ac:dyDescent="0.4"/>
    <row r="57" ht="12" customHeight="1" x14ac:dyDescent="0.4"/>
    <row r="58" ht="12" customHeight="1" x14ac:dyDescent="0.4"/>
    <row r="59" ht="12" customHeight="1" x14ac:dyDescent="0.4"/>
    <row r="60" ht="12" customHeight="1" x14ac:dyDescent="0.4"/>
    <row r="61" ht="12" customHeight="1" x14ac:dyDescent="0.4"/>
    <row r="62" ht="12" customHeight="1" x14ac:dyDescent="0.4"/>
    <row r="63" ht="12" customHeight="1" x14ac:dyDescent="0.4"/>
    <row r="64" ht="12" customHeight="1" x14ac:dyDescent="0.4"/>
    <row r="65" ht="12" customHeight="1" x14ac:dyDescent="0.4"/>
    <row r="66" ht="12" customHeight="1" x14ac:dyDescent="0.4"/>
    <row r="67" ht="12" customHeight="1" x14ac:dyDescent="0.4"/>
    <row r="68" ht="12" customHeight="1" x14ac:dyDescent="0.4"/>
    <row r="69" ht="12" customHeight="1" x14ac:dyDescent="0.4"/>
    <row r="70" ht="12" customHeight="1" x14ac:dyDescent="0.4"/>
    <row r="71" ht="12" customHeight="1" x14ac:dyDescent="0.4"/>
    <row r="72" ht="12" customHeight="1" x14ac:dyDescent="0.4"/>
    <row r="73" ht="12" customHeight="1" x14ac:dyDescent="0.4"/>
    <row r="74" ht="12" customHeight="1" x14ac:dyDescent="0.4"/>
    <row r="75" ht="12" customHeight="1" x14ac:dyDescent="0.4"/>
    <row r="76" ht="12" customHeight="1" x14ac:dyDescent="0.4"/>
    <row r="77" ht="12" customHeight="1" x14ac:dyDescent="0.4"/>
    <row r="78" ht="12" customHeight="1" x14ac:dyDescent="0.4"/>
    <row r="79" ht="12" customHeight="1" x14ac:dyDescent="0.4"/>
    <row r="80" ht="12" customHeight="1" x14ac:dyDescent="0.4"/>
    <row r="81" ht="12" customHeight="1" x14ac:dyDescent="0.4"/>
    <row r="82" ht="12" customHeight="1" x14ac:dyDescent="0.4"/>
    <row r="83" ht="12" customHeight="1" x14ac:dyDescent="0.4"/>
    <row r="84" ht="12" customHeight="1" x14ac:dyDescent="0.4"/>
    <row r="85" ht="12" customHeight="1" x14ac:dyDescent="0.4"/>
    <row r="86" ht="12" customHeight="1" x14ac:dyDescent="0.4"/>
    <row r="87" ht="12" customHeight="1" x14ac:dyDescent="0.4"/>
    <row r="88" ht="12" customHeight="1" x14ac:dyDescent="0.4"/>
    <row r="89" ht="12" customHeight="1" x14ac:dyDescent="0.4"/>
    <row r="90" ht="12" customHeight="1" x14ac:dyDescent="0.4"/>
    <row r="91" ht="12" customHeight="1" x14ac:dyDescent="0.4"/>
    <row r="92" ht="12" customHeight="1" x14ac:dyDescent="0.4"/>
    <row r="93" ht="12" customHeight="1" x14ac:dyDescent="0.4"/>
    <row r="94" ht="12" customHeight="1" x14ac:dyDescent="0.4"/>
    <row r="95" ht="12" customHeight="1" x14ac:dyDescent="0.4"/>
    <row r="96" ht="12" customHeight="1" x14ac:dyDescent="0.4"/>
    <row r="97" ht="12" customHeight="1" x14ac:dyDescent="0.4"/>
    <row r="98" ht="12" customHeight="1" x14ac:dyDescent="0.4"/>
    <row r="99" ht="12" customHeight="1" x14ac:dyDescent="0.4"/>
    <row r="100" ht="12" customHeight="1" x14ac:dyDescent="0.4"/>
    <row r="101" ht="12" customHeight="1" x14ac:dyDescent="0.4"/>
    <row r="102" ht="12" customHeight="1" x14ac:dyDescent="0.4"/>
    <row r="103" ht="12" customHeight="1" x14ac:dyDescent="0.4"/>
    <row r="104" ht="12" customHeight="1" x14ac:dyDescent="0.4"/>
    <row r="105" ht="12" customHeight="1" x14ac:dyDescent="0.4"/>
    <row r="106" ht="12" customHeight="1" x14ac:dyDescent="0.4"/>
    <row r="107" ht="12" customHeight="1" x14ac:dyDescent="0.4"/>
    <row r="108" ht="12" customHeight="1" x14ac:dyDescent="0.4"/>
    <row r="109" ht="12" customHeight="1" x14ac:dyDescent="0.4"/>
    <row r="110" ht="12" customHeight="1" x14ac:dyDescent="0.4"/>
    <row r="111" ht="12" customHeight="1" x14ac:dyDescent="0.4"/>
    <row r="112" ht="12" customHeight="1" x14ac:dyDescent="0.4"/>
    <row r="113" ht="12" customHeight="1" x14ac:dyDescent="0.4"/>
    <row r="114" ht="12" customHeight="1" x14ac:dyDescent="0.4"/>
    <row r="115" ht="12" customHeight="1" x14ac:dyDescent="0.4"/>
    <row r="116" ht="12" customHeight="1" x14ac:dyDescent="0.4"/>
    <row r="117" ht="12" customHeight="1" x14ac:dyDescent="0.4"/>
    <row r="118" ht="12" customHeight="1" x14ac:dyDescent="0.4"/>
    <row r="119" ht="12" customHeight="1" x14ac:dyDescent="0.4"/>
    <row r="120" ht="12" customHeight="1" x14ac:dyDescent="0.4"/>
    <row r="121" ht="12" customHeight="1" x14ac:dyDescent="0.4"/>
    <row r="122" ht="12" customHeight="1" x14ac:dyDescent="0.4"/>
    <row r="123" ht="12" customHeight="1" x14ac:dyDescent="0.4"/>
    <row r="124" ht="12" customHeight="1" x14ac:dyDescent="0.4"/>
    <row r="125" ht="12" customHeight="1" x14ac:dyDescent="0.4"/>
    <row r="126" ht="12" customHeight="1" x14ac:dyDescent="0.4"/>
    <row r="127" ht="12" customHeight="1" x14ac:dyDescent="0.4"/>
    <row r="128" ht="12" customHeight="1" x14ac:dyDescent="0.4"/>
    <row r="129" ht="12" customHeight="1" x14ac:dyDescent="0.4"/>
    <row r="130" ht="12" customHeight="1" x14ac:dyDescent="0.4"/>
    <row r="131" ht="12" customHeight="1" x14ac:dyDescent="0.4"/>
    <row r="132" ht="12" customHeight="1" x14ac:dyDescent="0.4"/>
    <row r="133" ht="12" customHeight="1" x14ac:dyDescent="0.4"/>
    <row r="134" ht="12" customHeight="1" x14ac:dyDescent="0.4"/>
    <row r="135" ht="12" customHeight="1" x14ac:dyDescent="0.4"/>
    <row r="136" ht="12" customHeight="1" x14ac:dyDescent="0.4"/>
    <row r="137" ht="12" customHeight="1" x14ac:dyDescent="0.4"/>
    <row r="138" ht="12" customHeight="1" x14ac:dyDescent="0.4"/>
    <row r="139" ht="12" customHeight="1" x14ac:dyDescent="0.4"/>
    <row r="140" ht="12" customHeight="1" x14ac:dyDescent="0.4"/>
    <row r="141" ht="12" customHeight="1" x14ac:dyDescent="0.4"/>
    <row r="142" ht="12" customHeight="1" x14ac:dyDescent="0.4"/>
    <row r="143" ht="12" customHeight="1" x14ac:dyDescent="0.4"/>
    <row r="144" ht="12" customHeight="1" x14ac:dyDescent="0.4"/>
    <row r="145" ht="12" customHeight="1" x14ac:dyDescent="0.4"/>
    <row r="146" ht="12" customHeight="1" x14ac:dyDescent="0.4"/>
    <row r="147" ht="12" customHeight="1" x14ac:dyDescent="0.4"/>
    <row r="148" ht="12" customHeight="1" x14ac:dyDescent="0.4"/>
    <row r="149" ht="12" customHeight="1" x14ac:dyDescent="0.4"/>
    <row r="150" ht="12" customHeight="1" x14ac:dyDescent="0.4"/>
    <row r="151" ht="12" customHeight="1" x14ac:dyDescent="0.4"/>
    <row r="152" ht="12" customHeight="1" x14ac:dyDescent="0.4"/>
    <row r="153" ht="12" customHeight="1" x14ac:dyDescent="0.4"/>
    <row r="154" ht="12" customHeight="1" x14ac:dyDescent="0.4"/>
    <row r="155" ht="12" customHeight="1" x14ac:dyDescent="0.4"/>
    <row r="156" ht="12" customHeight="1" x14ac:dyDescent="0.4"/>
    <row r="157" ht="12" customHeight="1" x14ac:dyDescent="0.4"/>
    <row r="158" ht="12" customHeight="1" x14ac:dyDescent="0.4"/>
    <row r="159" ht="12" customHeight="1" x14ac:dyDescent="0.4"/>
    <row r="160" ht="12" customHeight="1" x14ac:dyDescent="0.4"/>
    <row r="161" ht="12" customHeight="1" x14ac:dyDescent="0.4"/>
    <row r="162" ht="12" customHeight="1" x14ac:dyDescent="0.4"/>
    <row r="163" ht="12" customHeight="1" x14ac:dyDescent="0.4"/>
    <row r="164" ht="12" customHeight="1" x14ac:dyDescent="0.4"/>
    <row r="165" ht="12" customHeight="1" x14ac:dyDescent="0.4"/>
    <row r="166" ht="12" customHeight="1" x14ac:dyDescent="0.4"/>
    <row r="167" ht="12" customHeight="1" x14ac:dyDescent="0.4"/>
    <row r="168" ht="12" customHeight="1" x14ac:dyDescent="0.4"/>
    <row r="169" ht="12" customHeight="1" x14ac:dyDescent="0.4"/>
    <row r="170" ht="12" customHeight="1" x14ac:dyDescent="0.4"/>
    <row r="171" ht="12" customHeight="1" x14ac:dyDescent="0.4"/>
    <row r="172" ht="12" customHeight="1" x14ac:dyDescent="0.4"/>
    <row r="173" ht="12" customHeight="1" x14ac:dyDescent="0.4"/>
    <row r="174" ht="12" customHeight="1" x14ac:dyDescent="0.4"/>
    <row r="175" ht="12" customHeight="1" x14ac:dyDescent="0.4"/>
    <row r="176" ht="12" customHeight="1" x14ac:dyDescent="0.4"/>
    <row r="177" ht="12" customHeight="1" x14ac:dyDescent="0.4"/>
    <row r="178" ht="12" customHeight="1" x14ac:dyDescent="0.4"/>
    <row r="179" ht="12" customHeight="1" x14ac:dyDescent="0.4"/>
    <row r="180" ht="12" customHeight="1" x14ac:dyDescent="0.4"/>
    <row r="181" ht="12" customHeight="1" x14ac:dyDescent="0.4"/>
    <row r="182" ht="12" customHeight="1" x14ac:dyDescent="0.4"/>
    <row r="183" ht="12" customHeight="1" x14ac:dyDescent="0.4"/>
    <row r="184" ht="12" customHeight="1" x14ac:dyDescent="0.4"/>
    <row r="185" ht="12" customHeight="1" x14ac:dyDescent="0.4"/>
    <row r="186" ht="12" customHeight="1" x14ac:dyDescent="0.4"/>
    <row r="187" ht="12" customHeight="1" x14ac:dyDescent="0.4"/>
    <row r="188" ht="12" customHeight="1" x14ac:dyDescent="0.4"/>
    <row r="189" ht="12" customHeight="1" x14ac:dyDescent="0.4"/>
    <row r="190" ht="12" customHeight="1" x14ac:dyDescent="0.4"/>
    <row r="191" ht="12" customHeight="1" x14ac:dyDescent="0.4"/>
    <row r="192" ht="12" customHeight="1" x14ac:dyDescent="0.4"/>
    <row r="193" ht="12" customHeight="1" x14ac:dyDescent="0.4"/>
    <row r="194" ht="12" customHeight="1" x14ac:dyDescent="0.4"/>
    <row r="195" ht="12" customHeight="1" x14ac:dyDescent="0.4"/>
    <row r="196" ht="12" customHeight="1" x14ac:dyDescent="0.4"/>
    <row r="197" ht="12" customHeight="1" x14ac:dyDescent="0.4"/>
    <row r="198" ht="12" customHeight="1" x14ac:dyDescent="0.4"/>
    <row r="199" ht="12" customHeight="1" x14ac:dyDescent="0.4"/>
    <row r="200" ht="12" customHeight="1" x14ac:dyDescent="0.4"/>
    <row r="201" ht="12" customHeight="1" x14ac:dyDescent="0.4"/>
    <row r="202" ht="12" customHeight="1" x14ac:dyDescent="0.4"/>
    <row r="203" ht="12" customHeight="1" x14ac:dyDescent="0.4"/>
    <row r="204" ht="12" customHeight="1" x14ac:dyDescent="0.4"/>
    <row r="205" ht="12" customHeight="1" x14ac:dyDescent="0.4"/>
    <row r="206" ht="12" customHeight="1" x14ac:dyDescent="0.4"/>
    <row r="207" ht="12" customHeight="1" x14ac:dyDescent="0.4"/>
    <row r="208" ht="12" customHeight="1" x14ac:dyDescent="0.4"/>
    <row r="209" ht="12" customHeight="1" x14ac:dyDescent="0.4"/>
    <row r="210" ht="12" customHeight="1" x14ac:dyDescent="0.4"/>
    <row r="211" ht="12" customHeight="1" x14ac:dyDescent="0.4"/>
    <row r="212" ht="12" customHeight="1" x14ac:dyDescent="0.4"/>
    <row r="213" ht="12" customHeight="1" x14ac:dyDescent="0.4"/>
    <row r="214" ht="12" customHeight="1" x14ac:dyDescent="0.4"/>
    <row r="215" ht="12" customHeight="1" x14ac:dyDescent="0.4"/>
    <row r="216" ht="12" customHeight="1" x14ac:dyDescent="0.4"/>
    <row r="217" ht="12" customHeight="1" x14ac:dyDescent="0.4"/>
    <row r="218" ht="12" customHeight="1" x14ac:dyDescent="0.4"/>
    <row r="219" ht="12" customHeight="1" x14ac:dyDescent="0.4"/>
    <row r="220" ht="12" customHeight="1" x14ac:dyDescent="0.4"/>
    <row r="221" ht="12" customHeight="1" x14ac:dyDescent="0.4"/>
    <row r="222" ht="12" customHeight="1" x14ac:dyDescent="0.4"/>
    <row r="223" ht="12" customHeight="1" x14ac:dyDescent="0.4"/>
    <row r="224" ht="12" customHeight="1" x14ac:dyDescent="0.4"/>
    <row r="225" ht="12" customHeight="1" x14ac:dyDescent="0.4"/>
    <row r="226" ht="12" customHeight="1" x14ac:dyDescent="0.4"/>
    <row r="227" ht="12" customHeight="1" x14ac:dyDescent="0.4"/>
    <row r="228" ht="12" customHeight="1" x14ac:dyDescent="0.4"/>
    <row r="229" ht="12" customHeight="1" x14ac:dyDescent="0.4"/>
    <row r="230" ht="12" customHeight="1" x14ac:dyDescent="0.4"/>
    <row r="231" ht="12" customHeight="1" x14ac:dyDescent="0.4"/>
    <row r="232" ht="12" customHeight="1" x14ac:dyDescent="0.4"/>
    <row r="233" ht="12" customHeight="1" x14ac:dyDescent="0.4"/>
    <row r="234" ht="12" customHeight="1" x14ac:dyDescent="0.4"/>
    <row r="235" ht="12" customHeight="1" x14ac:dyDescent="0.4"/>
    <row r="236" ht="12" customHeight="1" x14ac:dyDescent="0.4"/>
    <row r="237" ht="12" customHeight="1" x14ac:dyDescent="0.4"/>
    <row r="238" ht="12" customHeight="1" x14ac:dyDescent="0.4"/>
    <row r="239" ht="12" customHeight="1" x14ac:dyDescent="0.4"/>
    <row r="240" ht="12" customHeight="1" x14ac:dyDescent="0.4"/>
    <row r="241" ht="12" customHeight="1" x14ac:dyDescent="0.4"/>
    <row r="242" ht="12" customHeight="1" x14ac:dyDescent="0.4"/>
    <row r="243" ht="12" customHeight="1" x14ac:dyDescent="0.4"/>
    <row r="244" ht="12" customHeight="1" x14ac:dyDescent="0.4"/>
    <row r="245" ht="12" customHeight="1" x14ac:dyDescent="0.4"/>
    <row r="246" ht="12" customHeight="1" x14ac:dyDescent="0.4"/>
    <row r="247" ht="12" customHeight="1" x14ac:dyDescent="0.4"/>
    <row r="248" ht="12" customHeight="1" x14ac:dyDescent="0.4"/>
    <row r="249" ht="12" customHeight="1" x14ac:dyDescent="0.4"/>
    <row r="250" ht="12" customHeight="1" x14ac:dyDescent="0.4"/>
    <row r="251" ht="12" customHeight="1" x14ac:dyDescent="0.4"/>
    <row r="252" ht="12" customHeight="1" x14ac:dyDescent="0.4"/>
    <row r="253" ht="12" customHeight="1" x14ac:dyDescent="0.4"/>
    <row r="254" ht="12" customHeight="1" x14ac:dyDescent="0.4"/>
    <row r="255" ht="12" customHeight="1" x14ac:dyDescent="0.4"/>
    <row r="256" ht="12" customHeight="1" x14ac:dyDescent="0.4"/>
    <row r="257" ht="12" customHeight="1" x14ac:dyDescent="0.4"/>
    <row r="258" ht="12" customHeight="1" x14ac:dyDescent="0.4"/>
    <row r="259" ht="12" customHeight="1" x14ac:dyDescent="0.4"/>
    <row r="260" ht="12" customHeight="1" x14ac:dyDescent="0.4"/>
    <row r="261" ht="12" customHeight="1" x14ac:dyDescent="0.4"/>
    <row r="262" ht="12" customHeight="1" x14ac:dyDescent="0.4"/>
    <row r="263" ht="12" customHeight="1" x14ac:dyDescent="0.4"/>
    <row r="264" ht="12" customHeight="1" x14ac:dyDescent="0.4"/>
    <row r="265" ht="12" customHeight="1" x14ac:dyDescent="0.4"/>
    <row r="266" ht="12" customHeight="1" x14ac:dyDescent="0.4"/>
    <row r="267" ht="12" customHeight="1" x14ac:dyDescent="0.4"/>
    <row r="268" ht="12" customHeight="1" x14ac:dyDescent="0.4"/>
    <row r="269" ht="12" customHeight="1" x14ac:dyDescent="0.4"/>
    <row r="270" ht="12" customHeight="1" x14ac:dyDescent="0.4"/>
    <row r="271" ht="12" customHeight="1" x14ac:dyDescent="0.4"/>
    <row r="272" ht="12" customHeight="1" x14ac:dyDescent="0.4"/>
    <row r="273" ht="12" customHeight="1" x14ac:dyDescent="0.4"/>
    <row r="274" ht="12" customHeight="1" x14ac:dyDescent="0.4"/>
    <row r="275" ht="12" customHeight="1" x14ac:dyDescent="0.4"/>
    <row r="276" ht="12" customHeight="1" x14ac:dyDescent="0.4"/>
    <row r="277" ht="12" customHeight="1" x14ac:dyDescent="0.4"/>
    <row r="278" ht="12" customHeight="1" x14ac:dyDescent="0.4"/>
    <row r="279" ht="12" customHeight="1" x14ac:dyDescent="0.4"/>
    <row r="280" ht="12" customHeight="1" x14ac:dyDescent="0.4"/>
    <row r="281" ht="12" customHeight="1" x14ac:dyDescent="0.4"/>
    <row r="282" ht="12" customHeight="1" x14ac:dyDescent="0.4"/>
    <row r="283" ht="12" customHeight="1" x14ac:dyDescent="0.4"/>
    <row r="284" ht="12" customHeight="1" x14ac:dyDescent="0.4"/>
    <row r="285" ht="12" customHeight="1" x14ac:dyDescent="0.4"/>
    <row r="286" ht="12" customHeight="1" x14ac:dyDescent="0.4"/>
    <row r="287" ht="12" customHeight="1" x14ac:dyDescent="0.4"/>
    <row r="288" ht="12" customHeight="1" x14ac:dyDescent="0.4"/>
    <row r="289" ht="12" customHeight="1" x14ac:dyDescent="0.4"/>
    <row r="290" ht="12" customHeight="1" x14ac:dyDescent="0.4"/>
    <row r="291" ht="12" customHeight="1" x14ac:dyDescent="0.4"/>
    <row r="292" ht="12" customHeight="1" x14ac:dyDescent="0.4"/>
    <row r="293" ht="12" customHeight="1" x14ac:dyDescent="0.4"/>
    <row r="294" ht="12" customHeight="1" x14ac:dyDescent="0.4"/>
    <row r="295" ht="12" customHeight="1" x14ac:dyDescent="0.4"/>
    <row r="296" ht="12" customHeight="1" x14ac:dyDescent="0.4"/>
    <row r="297" ht="12" customHeight="1" x14ac:dyDescent="0.4"/>
    <row r="298" ht="12" customHeight="1" x14ac:dyDescent="0.4"/>
    <row r="299" ht="12" customHeight="1" x14ac:dyDescent="0.4"/>
    <row r="300" ht="12" customHeight="1" x14ac:dyDescent="0.4"/>
    <row r="301" ht="12" customHeight="1" x14ac:dyDescent="0.4"/>
    <row r="302" ht="12" customHeight="1" x14ac:dyDescent="0.4"/>
    <row r="303" ht="12" customHeight="1" x14ac:dyDescent="0.4"/>
    <row r="304" ht="12" customHeight="1" x14ac:dyDescent="0.4"/>
    <row r="305" ht="12" customHeight="1" x14ac:dyDescent="0.4"/>
    <row r="306" ht="12" customHeight="1" x14ac:dyDescent="0.4"/>
    <row r="307" ht="12" customHeight="1" x14ac:dyDescent="0.4"/>
    <row r="308" ht="12" customHeight="1" x14ac:dyDescent="0.4"/>
    <row r="309" ht="12" customHeight="1" x14ac:dyDescent="0.4"/>
    <row r="310" ht="12" customHeight="1" x14ac:dyDescent="0.4"/>
    <row r="311" ht="12" customHeight="1" x14ac:dyDescent="0.4"/>
    <row r="312" ht="12" customHeight="1" x14ac:dyDescent="0.4"/>
    <row r="313" ht="12" customHeight="1" x14ac:dyDescent="0.4"/>
    <row r="314" ht="12" customHeight="1" x14ac:dyDescent="0.4"/>
    <row r="315" ht="12" customHeight="1" x14ac:dyDescent="0.4"/>
    <row r="316" ht="12" customHeight="1" x14ac:dyDescent="0.4"/>
    <row r="317" ht="12" customHeight="1" x14ac:dyDescent="0.4"/>
    <row r="318" ht="12" customHeight="1" x14ac:dyDescent="0.4"/>
    <row r="319" ht="12" customHeight="1" x14ac:dyDescent="0.4"/>
    <row r="320" ht="12" customHeight="1" x14ac:dyDescent="0.4"/>
    <row r="321" ht="12" customHeight="1" x14ac:dyDescent="0.4"/>
    <row r="322" ht="12" customHeight="1" x14ac:dyDescent="0.4"/>
    <row r="323" ht="12" customHeight="1" x14ac:dyDescent="0.4"/>
    <row r="324" ht="12" customHeight="1" x14ac:dyDescent="0.4"/>
    <row r="325" ht="12" customHeight="1" x14ac:dyDescent="0.4"/>
    <row r="326" ht="12" customHeight="1" x14ac:dyDescent="0.4"/>
    <row r="327" ht="12" customHeight="1" x14ac:dyDescent="0.4"/>
    <row r="328" ht="12" customHeight="1" x14ac:dyDescent="0.4"/>
    <row r="329" ht="12" customHeight="1" x14ac:dyDescent="0.4"/>
    <row r="330" ht="12" customHeight="1" x14ac:dyDescent="0.4"/>
    <row r="331" ht="12" customHeight="1" x14ac:dyDescent="0.4"/>
    <row r="332" ht="12" customHeight="1" x14ac:dyDescent="0.4"/>
    <row r="333" ht="12" customHeight="1" x14ac:dyDescent="0.4"/>
    <row r="334" ht="12" customHeight="1" x14ac:dyDescent="0.4"/>
    <row r="335" ht="12" customHeight="1" x14ac:dyDescent="0.4"/>
    <row r="336" ht="12" customHeight="1" x14ac:dyDescent="0.4"/>
    <row r="337" ht="12" customHeight="1" x14ac:dyDescent="0.4"/>
    <row r="338" ht="12" customHeight="1" x14ac:dyDescent="0.4"/>
    <row r="339" ht="12" customHeight="1" x14ac:dyDescent="0.4"/>
    <row r="340" ht="12" customHeight="1" x14ac:dyDescent="0.4"/>
    <row r="341" ht="12" customHeight="1" x14ac:dyDescent="0.4"/>
    <row r="342" ht="12" customHeight="1" x14ac:dyDescent="0.4"/>
    <row r="343" ht="12" customHeight="1" x14ac:dyDescent="0.4"/>
    <row r="344" ht="12" customHeight="1" x14ac:dyDescent="0.4"/>
    <row r="345" ht="12" customHeight="1" x14ac:dyDescent="0.4"/>
    <row r="346" ht="12" customHeight="1" x14ac:dyDescent="0.4"/>
    <row r="347" ht="12" customHeight="1" x14ac:dyDescent="0.4"/>
    <row r="348" ht="12" customHeight="1" x14ac:dyDescent="0.4"/>
    <row r="349" ht="12" customHeight="1" x14ac:dyDescent="0.4"/>
    <row r="350" ht="12" customHeight="1" x14ac:dyDescent="0.4"/>
    <row r="351" ht="12" customHeight="1" x14ac:dyDescent="0.4"/>
    <row r="352" ht="12" customHeight="1" x14ac:dyDescent="0.4"/>
    <row r="353" ht="12" customHeight="1" x14ac:dyDescent="0.4"/>
    <row r="354" ht="12" customHeight="1" x14ac:dyDescent="0.4"/>
    <row r="355" ht="12" customHeight="1" x14ac:dyDescent="0.4"/>
    <row r="356" ht="12" customHeight="1" x14ac:dyDescent="0.4"/>
    <row r="357" ht="12" customHeight="1" x14ac:dyDescent="0.4"/>
    <row r="358" ht="12" customHeight="1" x14ac:dyDescent="0.4"/>
    <row r="359" ht="12" customHeight="1" x14ac:dyDescent="0.4"/>
    <row r="360" ht="12" customHeight="1" x14ac:dyDescent="0.4"/>
    <row r="361" ht="12" customHeight="1" x14ac:dyDescent="0.4"/>
    <row r="362" ht="12" customHeight="1" x14ac:dyDescent="0.4"/>
    <row r="363" ht="12" customHeight="1" x14ac:dyDescent="0.4"/>
    <row r="364" ht="12" customHeight="1" x14ac:dyDescent="0.4"/>
    <row r="365" ht="12" customHeight="1" x14ac:dyDescent="0.4"/>
    <row r="366" ht="12" customHeight="1" x14ac:dyDescent="0.4"/>
    <row r="367" ht="12" customHeight="1" x14ac:dyDescent="0.4"/>
    <row r="368" ht="12" customHeight="1" x14ac:dyDescent="0.4"/>
    <row r="369" ht="12" customHeight="1" x14ac:dyDescent="0.4"/>
    <row r="370" ht="12" customHeight="1" x14ac:dyDescent="0.4"/>
    <row r="371" ht="12" customHeight="1" x14ac:dyDescent="0.4"/>
    <row r="372" ht="12" customHeight="1" x14ac:dyDescent="0.4"/>
    <row r="373" ht="12" customHeight="1" x14ac:dyDescent="0.4"/>
    <row r="374" ht="12" customHeight="1" x14ac:dyDescent="0.4"/>
    <row r="375" ht="12" customHeight="1" x14ac:dyDescent="0.4"/>
    <row r="376" ht="12" customHeight="1" x14ac:dyDescent="0.4"/>
    <row r="377" ht="12" customHeight="1" x14ac:dyDescent="0.4"/>
    <row r="378" ht="12" customHeight="1" x14ac:dyDescent="0.4"/>
    <row r="379" ht="12" customHeight="1" x14ac:dyDescent="0.4"/>
    <row r="380" ht="12" customHeight="1" x14ac:dyDescent="0.4"/>
    <row r="381" ht="12" customHeight="1" x14ac:dyDescent="0.4"/>
    <row r="382" ht="12" customHeight="1" x14ac:dyDescent="0.4"/>
    <row r="383" ht="12" customHeight="1" x14ac:dyDescent="0.4"/>
    <row r="384" ht="12" customHeight="1" x14ac:dyDescent="0.4"/>
    <row r="385" ht="12" customHeight="1" x14ac:dyDescent="0.4"/>
    <row r="386" ht="12" customHeight="1" x14ac:dyDescent="0.4"/>
    <row r="387" ht="12" customHeight="1" x14ac:dyDescent="0.4"/>
    <row r="388" ht="12" customHeight="1" x14ac:dyDescent="0.4"/>
    <row r="389" ht="12" customHeight="1" x14ac:dyDescent="0.4"/>
    <row r="390" ht="12" customHeight="1" x14ac:dyDescent="0.4"/>
    <row r="391" ht="12" customHeight="1" x14ac:dyDescent="0.4"/>
    <row r="392" ht="12" customHeight="1" x14ac:dyDescent="0.4"/>
    <row r="393" ht="12" customHeight="1" x14ac:dyDescent="0.4"/>
    <row r="394" ht="12" customHeight="1" x14ac:dyDescent="0.4"/>
    <row r="395" ht="12" customHeight="1" x14ac:dyDescent="0.4"/>
    <row r="396" ht="12" customHeight="1" x14ac:dyDescent="0.4"/>
    <row r="397" ht="12" customHeight="1" x14ac:dyDescent="0.4"/>
    <row r="398" ht="12" customHeight="1" x14ac:dyDescent="0.4"/>
    <row r="399" ht="12" customHeight="1" x14ac:dyDescent="0.4"/>
    <row r="400" ht="12" customHeight="1" x14ac:dyDescent="0.4"/>
    <row r="401" ht="12" customHeight="1" x14ac:dyDescent="0.4"/>
    <row r="402" ht="12" customHeight="1" x14ac:dyDescent="0.4"/>
    <row r="403" ht="12" customHeight="1" x14ac:dyDescent="0.4"/>
    <row r="404" ht="12" customHeight="1" x14ac:dyDescent="0.4"/>
    <row r="405" ht="12" customHeight="1" x14ac:dyDescent="0.4"/>
    <row r="406" ht="12" customHeight="1" x14ac:dyDescent="0.4"/>
    <row r="407" ht="12" customHeight="1" x14ac:dyDescent="0.4"/>
    <row r="408" ht="12" customHeight="1" x14ac:dyDescent="0.4"/>
    <row r="409" ht="12" customHeight="1" x14ac:dyDescent="0.4"/>
    <row r="410" ht="12" customHeight="1" x14ac:dyDescent="0.4"/>
    <row r="411" ht="12" customHeight="1" x14ac:dyDescent="0.4"/>
    <row r="412" ht="12" customHeight="1" x14ac:dyDescent="0.4"/>
    <row r="413" ht="12" customHeight="1" x14ac:dyDescent="0.4"/>
    <row r="414" ht="12" customHeight="1" x14ac:dyDescent="0.4"/>
    <row r="415" ht="12" customHeight="1" x14ac:dyDescent="0.4"/>
    <row r="416" ht="12" customHeight="1" x14ac:dyDescent="0.4"/>
    <row r="417" ht="12" customHeight="1" x14ac:dyDescent="0.4"/>
    <row r="418" ht="12" customHeight="1" x14ac:dyDescent="0.4"/>
    <row r="419" ht="12" customHeight="1" x14ac:dyDescent="0.4"/>
    <row r="420" ht="12" customHeight="1" x14ac:dyDescent="0.4"/>
    <row r="421" ht="12" customHeight="1" x14ac:dyDescent="0.4"/>
    <row r="422" ht="12" customHeight="1" x14ac:dyDescent="0.4"/>
    <row r="423" ht="12" customHeight="1" x14ac:dyDescent="0.4"/>
    <row r="424" ht="12" customHeight="1" x14ac:dyDescent="0.4"/>
    <row r="425" ht="12" customHeight="1" x14ac:dyDescent="0.4"/>
    <row r="426" ht="12" customHeight="1" x14ac:dyDescent="0.4"/>
    <row r="427" ht="12" customHeight="1" x14ac:dyDescent="0.4"/>
    <row r="428" ht="12" customHeight="1" x14ac:dyDescent="0.4"/>
    <row r="429" ht="12" customHeight="1" x14ac:dyDescent="0.4"/>
    <row r="430" ht="12" customHeight="1" x14ac:dyDescent="0.4"/>
    <row r="431" ht="12" customHeight="1" x14ac:dyDescent="0.4"/>
    <row r="432" ht="12" customHeight="1" x14ac:dyDescent="0.4"/>
    <row r="433" ht="12" customHeight="1" x14ac:dyDescent="0.4"/>
    <row r="434" ht="12" customHeight="1" x14ac:dyDescent="0.4"/>
    <row r="435" ht="12" customHeight="1" x14ac:dyDescent="0.4"/>
    <row r="436" ht="12" customHeight="1" x14ac:dyDescent="0.4"/>
    <row r="437" ht="12" customHeight="1" x14ac:dyDescent="0.4"/>
    <row r="438" ht="12" customHeight="1" x14ac:dyDescent="0.4"/>
    <row r="439" ht="12" customHeight="1" x14ac:dyDescent="0.4"/>
    <row r="440" ht="12" customHeight="1" x14ac:dyDescent="0.4"/>
    <row r="441" ht="12" customHeight="1" x14ac:dyDescent="0.4"/>
    <row r="442" ht="12" customHeight="1" x14ac:dyDescent="0.4"/>
    <row r="443" ht="12" customHeight="1" x14ac:dyDescent="0.4"/>
    <row r="444" ht="12" customHeight="1" x14ac:dyDescent="0.4"/>
    <row r="445" ht="12" customHeight="1" x14ac:dyDescent="0.4"/>
    <row r="446" ht="12" customHeight="1" x14ac:dyDescent="0.4"/>
    <row r="447" ht="12" customHeight="1" x14ac:dyDescent="0.4"/>
    <row r="448" ht="12" customHeight="1" x14ac:dyDescent="0.4"/>
    <row r="449" ht="12" customHeight="1" x14ac:dyDescent="0.4"/>
    <row r="450" ht="12" customHeight="1" x14ac:dyDescent="0.4"/>
    <row r="451" ht="12" customHeight="1" x14ac:dyDescent="0.4"/>
    <row r="452" ht="12" customHeight="1" x14ac:dyDescent="0.4"/>
    <row r="453" ht="12" customHeight="1" x14ac:dyDescent="0.4"/>
    <row r="454" ht="12" customHeight="1" x14ac:dyDescent="0.4"/>
    <row r="455" ht="12" customHeight="1" x14ac:dyDescent="0.4"/>
    <row r="456" ht="12" customHeight="1" x14ac:dyDescent="0.4"/>
    <row r="457" ht="12" customHeight="1" x14ac:dyDescent="0.4"/>
    <row r="458" ht="12" customHeight="1" x14ac:dyDescent="0.4"/>
    <row r="459" ht="12" customHeight="1" x14ac:dyDescent="0.4"/>
    <row r="460" ht="12" customHeight="1" x14ac:dyDescent="0.4"/>
    <row r="461" ht="12" customHeight="1" x14ac:dyDescent="0.4"/>
    <row r="462" ht="12" customHeight="1" x14ac:dyDescent="0.4"/>
    <row r="463" ht="12" customHeight="1" x14ac:dyDescent="0.4"/>
    <row r="464" ht="12" customHeight="1" x14ac:dyDescent="0.4"/>
    <row r="465" ht="12" customHeight="1" x14ac:dyDescent="0.4"/>
    <row r="466" ht="12" customHeight="1" x14ac:dyDescent="0.4"/>
    <row r="467" ht="12" customHeight="1" x14ac:dyDescent="0.4"/>
    <row r="468" ht="12" customHeight="1" x14ac:dyDescent="0.4"/>
    <row r="469" ht="12" customHeight="1" x14ac:dyDescent="0.4"/>
    <row r="470" ht="12" customHeight="1" x14ac:dyDescent="0.4"/>
    <row r="471" ht="12" customHeight="1" x14ac:dyDescent="0.4"/>
    <row r="472" ht="12" customHeight="1" x14ac:dyDescent="0.4"/>
    <row r="473" ht="12" customHeight="1" x14ac:dyDescent="0.4"/>
    <row r="474" ht="12" customHeight="1" x14ac:dyDescent="0.4"/>
    <row r="475" ht="12" customHeight="1" x14ac:dyDescent="0.4"/>
    <row r="476" ht="12" customHeight="1" x14ac:dyDescent="0.4"/>
    <row r="477" ht="12" customHeight="1" x14ac:dyDescent="0.4"/>
    <row r="478" ht="12" customHeight="1" x14ac:dyDescent="0.4"/>
    <row r="479" ht="12" customHeight="1" x14ac:dyDescent="0.4"/>
    <row r="480" ht="12" customHeight="1" x14ac:dyDescent="0.4"/>
    <row r="481" ht="12" customHeight="1" x14ac:dyDescent="0.4"/>
    <row r="482" ht="12" customHeight="1" x14ac:dyDescent="0.4"/>
    <row r="483" ht="12" customHeight="1" x14ac:dyDescent="0.4"/>
    <row r="484" ht="12" customHeight="1" x14ac:dyDescent="0.4"/>
    <row r="485" ht="12" customHeight="1" x14ac:dyDescent="0.4"/>
    <row r="486" ht="12" customHeight="1" x14ac:dyDescent="0.4"/>
    <row r="487" ht="12" customHeight="1" x14ac:dyDescent="0.4"/>
    <row r="488" ht="12" customHeight="1" x14ac:dyDescent="0.4"/>
    <row r="489" ht="12" customHeight="1" x14ac:dyDescent="0.4"/>
    <row r="490" ht="12" customHeight="1" x14ac:dyDescent="0.4"/>
    <row r="491" ht="12" customHeight="1" x14ac:dyDescent="0.4"/>
    <row r="492" ht="12" customHeight="1" x14ac:dyDescent="0.4"/>
    <row r="493" ht="12" customHeight="1" x14ac:dyDescent="0.4"/>
    <row r="494" ht="12" customHeight="1" x14ac:dyDescent="0.4"/>
    <row r="495" ht="12" customHeight="1" x14ac:dyDescent="0.4"/>
    <row r="496" ht="12" customHeight="1" x14ac:dyDescent="0.4"/>
    <row r="497" ht="12" customHeight="1" x14ac:dyDescent="0.4"/>
    <row r="498" ht="12" customHeight="1" x14ac:dyDescent="0.4"/>
    <row r="499" ht="12" customHeight="1" x14ac:dyDescent="0.4"/>
    <row r="500" ht="12" customHeight="1" x14ac:dyDescent="0.4"/>
    <row r="501" ht="12" customHeight="1" x14ac:dyDescent="0.4"/>
    <row r="502" ht="12" customHeight="1" x14ac:dyDescent="0.4"/>
    <row r="503" ht="12" customHeight="1" x14ac:dyDescent="0.4"/>
    <row r="504" ht="12" customHeight="1" x14ac:dyDescent="0.4"/>
    <row r="505" ht="12" customHeight="1" x14ac:dyDescent="0.4"/>
    <row r="506" ht="12" customHeight="1" x14ac:dyDescent="0.4"/>
    <row r="507" ht="12" customHeight="1" x14ac:dyDescent="0.4"/>
    <row r="508" ht="12" customHeight="1" x14ac:dyDescent="0.4"/>
    <row r="509" ht="12" customHeight="1" x14ac:dyDescent="0.4"/>
    <row r="510" ht="12" customHeight="1" x14ac:dyDescent="0.4"/>
    <row r="511" ht="12" customHeight="1" x14ac:dyDescent="0.4"/>
    <row r="512" ht="12" customHeight="1" x14ac:dyDescent="0.4"/>
    <row r="513" ht="12" customHeight="1" x14ac:dyDescent="0.4"/>
    <row r="514" ht="12" customHeight="1" x14ac:dyDescent="0.4"/>
    <row r="515" ht="12" customHeight="1" x14ac:dyDescent="0.4"/>
    <row r="516" ht="12" customHeight="1" x14ac:dyDescent="0.4"/>
    <row r="517" ht="12" customHeight="1" x14ac:dyDescent="0.4"/>
    <row r="518" ht="12" customHeight="1" x14ac:dyDescent="0.4"/>
    <row r="519" ht="12" customHeight="1" x14ac:dyDescent="0.4"/>
    <row r="520" ht="12" customHeight="1" x14ac:dyDescent="0.4"/>
    <row r="521" ht="12" customHeight="1" x14ac:dyDescent="0.4"/>
    <row r="522" ht="12" customHeight="1" x14ac:dyDescent="0.4"/>
    <row r="523" ht="12" customHeight="1" x14ac:dyDescent="0.4"/>
    <row r="524" ht="12" customHeight="1" x14ac:dyDescent="0.4"/>
    <row r="525" ht="12" customHeight="1" x14ac:dyDescent="0.4"/>
    <row r="526" ht="12" customHeight="1" x14ac:dyDescent="0.4"/>
    <row r="527" ht="12" customHeight="1" x14ac:dyDescent="0.4"/>
    <row r="528" ht="12" customHeight="1" x14ac:dyDescent="0.4"/>
    <row r="529" ht="12" customHeight="1" x14ac:dyDescent="0.4"/>
    <row r="530" ht="12" customHeight="1" x14ac:dyDescent="0.4"/>
    <row r="531" ht="12" customHeight="1" x14ac:dyDescent="0.4"/>
    <row r="532" ht="12" customHeight="1" x14ac:dyDescent="0.4"/>
    <row r="533" ht="12" customHeight="1" x14ac:dyDescent="0.4"/>
    <row r="534" ht="12" customHeight="1" x14ac:dyDescent="0.4"/>
    <row r="535" ht="12" customHeight="1" x14ac:dyDescent="0.4"/>
    <row r="536" ht="12" customHeight="1" x14ac:dyDescent="0.4"/>
    <row r="537" ht="12" customHeight="1" x14ac:dyDescent="0.4"/>
    <row r="538" ht="12" customHeight="1" x14ac:dyDescent="0.4"/>
    <row r="539" ht="12" customHeight="1" x14ac:dyDescent="0.4"/>
    <row r="540" ht="12" customHeight="1" x14ac:dyDescent="0.4"/>
    <row r="541" ht="12" customHeight="1" x14ac:dyDescent="0.4"/>
    <row r="542" ht="12" customHeight="1" x14ac:dyDescent="0.4"/>
    <row r="543" ht="12" customHeight="1" x14ac:dyDescent="0.4"/>
    <row r="544" ht="12" customHeight="1" x14ac:dyDescent="0.4"/>
    <row r="545" ht="12" customHeight="1" x14ac:dyDescent="0.4"/>
    <row r="546" ht="12" customHeight="1" x14ac:dyDescent="0.4"/>
    <row r="547" ht="12" customHeight="1" x14ac:dyDescent="0.4"/>
    <row r="548" ht="12" customHeight="1" x14ac:dyDescent="0.4"/>
    <row r="549" ht="12" customHeight="1" x14ac:dyDescent="0.4"/>
    <row r="550" ht="12" customHeight="1" x14ac:dyDescent="0.4"/>
    <row r="551" ht="12" customHeight="1" x14ac:dyDescent="0.4"/>
    <row r="552" ht="12" customHeight="1" x14ac:dyDescent="0.4"/>
    <row r="553" ht="12" customHeight="1" x14ac:dyDescent="0.4"/>
    <row r="554" ht="12" customHeight="1" x14ac:dyDescent="0.4"/>
    <row r="555" ht="12" customHeight="1" x14ac:dyDescent="0.4"/>
    <row r="556" ht="12" customHeight="1" x14ac:dyDescent="0.4"/>
    <row r="557" ht="12" customHeight="1" x14ac:dyDescent="0.4"/>
    <row r="558" ht="12" customHeight="1" x14ac:dyDescent="0.4"/>
    <row r="559" ht="12" customHeight="1" x14ac:dyDescent="0.4"/>
    <row r="560" ht="12" customHeight="1" x14ac:dyDescent="0.4"/>
    <row r="561" ht="12" customHeight="1" x14ac:dyDescent="0.4"/>
    <row r="562" ht="12" customHeight="1" x14ac:dyDescent="0.4"/>
    <row r="563" ht="12" customHeight="1" x14ac:dyDescent="0.4"/>
    <row r="564" ht="12" customHeight="1" x14ac:dyDescent="0.4"/>
    <row r="565" ht="12" customHeight="1" x14ac:dyDescent="0.4"/>
    <row r="566" ht="12" customHeight="1" x14ac:dyDescent="0.4"/>
    <row r="567" ht="12" customHeight="1" x14ac:dyDescent="0.4"/>
    <row r="568" ht="12" customHeight="1" x14ac:dyDescent="0.4"/>
    <row r="569" ht="12" customHeight="1" x14ac:dyDescent="0.4"/>
    <row r="570" ht="12" customHeight="1" x14ac:dyDescent="0.4"/>
    <row r="571" ht="12" customHeight="1" x14ac:dyDescent="0.4"/>
    <row r="572" ht="12" customHeight="1" x14ac:dyDescent="0.4"/>
    <row r="573" ht="12" customHeight="1" x14ac:dyDescent="0.4"/>
    <row r="574" ht="12" customHeight="1" x14ac:dyDescent="0.4"/>
    <row r="575" ht="12" customHeight="1" x14ac:dyDescent="0.4"/>
    <row r="576" ht="12" customHeight="1" x14ac:dyDescent="0.4"/>
    <row r="577" ht="12" customHeight="1" x14ac:dyDescent="0.4"/>
    <row r="578" ht="12" customHeight="1" x14ac:dyDescent="0.4"/>
    <row r="579" ht="12" customHeight="1" x14ac:dyDescent="0.4"/>
    <row r="580" ht="12" customHeight="1" x14ac:dyDescent="0.4"/>
    <row r="581" ht="12" customHeight="1" x14ac:dyDescent="0.4"/>
    <row r="582" ht="12" customHeight="1" x14ac:dyDescent="0.4"/>
    <row r="583" ht="12" customHeight="1" x14ac:dyDescent="0.4"/>
    <row r="584" ht="12" customHeight="1" x14ac:dyDescent="0.4"/>
    <row r="585" ht="12" customHeight="1" x14ac:dyDescent="0.4"/>
    <row r="586" ht="12" customHeight="1" x14ac:dyDescent="0.4"/>
    <row r="587" ht="12" customHeight="1" x14ac:dyDescent="0.4"/>
    <row r="588" ht="12" customHeight="1" x14ac:dyDescent="0.4"/>
    <row r="589" ht="12" customHeight="1" x14ac:dyDescent="0.4"/>
    <row r="590" ht="12" customHeight="1" x14ac:dyDescent="0.4"/>
    <row r="591" ht="12" customHeight="1" x14ac:dyDescent="0.4"/>
    <row r="592" ht="12" customHeight="1" x14ac:dyDescent="0.4"/>
    <row r="593" ht="12" customHeight="1" x14ac:dyDescent="0.4"/>
    <row r="594" ht="12" customHeight="1" x14ac:dyDescent="0.4"/>
    <row r="595" ht="12" customHeight="1" x14ac:dyDescent="0.4"/>
    <row r="596" ht="12" customHeight="1" x14ac:dyDescent="0.4"/>
    <row r="597" ht="12" customHeight="1" x14ac:dyDescent="0.4"/>
    <row r="598" ht="12" customHeight="1" x14ac:dyDescent="0.4"/>
    <row r="599" ht="12" customHeight="1" x14ac:dyDescent="0.4"/>
    <row r="600" ht="12" customHeight="1" x14ac:dyDescent="0.4"/>
    <row r="601" ht="12" customHeight="1" x14ac:dyDescent="0.4"/>
    <row r="602" ht="12" customHeight="1" x14ac:dyDescent="0.4"/>
    <row r="603" ht="12" customHeight="1" x14ac:dyDescent="0.4"/>
    <row r="604" ht="12" customHeight="1" x14ac:dyDescent="0.4"/>
    <row r="605" ht="12" customHeight="1" x14ac:dyDescent="0.4"/>
    <row r="606" ht="12" customHeight="1" x14ac:dyDescent="0.4"/>
    <row r="607" ht="12" customHeight="1" x14ac:dyDescent="0.4"/>
    <row r="608" ht="12" customHeight="1" x14ac:dyDescent="0.4"/>
    <row r="609" ht="12" customHeight="1" x14ac:dyDescent="0.4"/>
    <row r="610" ht="12" customHeight="1" x14ac:dyDescent="0.4"/>
    <row r="611" ht="12" customHeight="1" x14ac:dyDescent="0.4"/>
    <row r="612" ht="12" customHeight="1" x14ac:dyDescent="0.4"/>
    <row r="613" ht="12" customHeight="1" x14ac:dyDescent="0.4"/>
    <row r="614" ht="12" customHeight="1" x14ac:dyDescent="0.4"/>
    <row r="615" ht="12" customHeight="1" x14ac:dyDescent="0.4"/>
    <row r="616" ht="12" customHeight="1" x14ac:dyDescent="0.4"/>
    <row r="617" ht="12" customHeight="1" x14ac:dyDescent="0.4"/>
    <row r="618" ht="12" customHeight="1" x14ac:dyDescent="0.4"/>
    <row r="619" ht="12" customHeight="1" x14ac:dyDescent="0.4"/>
    <row r="620" ht="12" customHeight="1" x14ac:dyDescent="0.4"/>
    <row r="621" ht="12" customHeight="1" x14ac:dyDescent="0.4"/>
    <row r="622" ht="12" customHeight="1" x14ac:dyDescent="0.4"/>
    <row r="623" ht="12" customHeight="1" x14ac:dyDescent="0.4"/>
    <row r="624" ht="12" customHeight="1" x14ac:dyDescent="0.4"/>
    <row r="625" ht="12" customHeight="1" x14ac:dyDescent="0.4"/>
    <row r="626" ht="12" customHeight="1" x14ac:dyDescent="0.4"/>
    <row r="627" ht="12" customHeight="1" x14ac:dyDescent="0.4"/>
    <row r="628" ht="12" customHeight="1" x14ac:dyDescent="0.4"/>
    <row r="629" ht="12" customHeight="1" x14ac:dyDescent="0.4"/>
    <row r="630" ht="12" customHeight="1" x14ac:dyDescent="0.4"/>
    <row r="631" ht="12" customHeight="1" x14ac:dyDescent="0.4"/>
    <row r="632" ht="12" customHeight="1" x14ac:dyDescent="0.4"/>
    <row r="633" ht="12" customHeight="1" x14ac:dyDescent="0.4"/>
    <row r="634" ht="12" customHeight="1" x14ac:dyDescent="0.4"/>
    <row r="635" ht="12" customHeight="1" x14ac:dyDescent="0.4"/>
    <row r="636" ht="12" customHeight="1" x14ac:dyDescent="0.4"/>
    <row r="637" ht="12" customHeight="1" x14ac:dyDescent="0.4"/>
    <row r="638" ht="12" customHeight="1" x14ac:dyDescent="0.4"/>
    <row r="639" ht="12" customHeight="1" x14ac:dyDescent="0.4"/>
    <row r="640" ht="12" customHeight="1" x14ac:dyDescent="0.4"/>
    <row r="641" ht="12" customHeight="1" x14ac:dyDescent="0.4"/>
    <row r="642" ht="12" customHeight="1" x14ac:dyDescent="0.4"/>
    <row r="643" ht="12" customHeight="1" x14ac:dyDescent="0.4"/>
    <row r="644" ht="12" customHeight="1" x14ac:dyDescent="0.4"/>
    <row r="645" ht="12" customHeight="1" x14ac:dyDescent="0.4"/>
    <row r="646" ht="12" customHeight="1" x14ac:dyDescent="0.4"/>
    <row r="647" ht="12" customHeight="1" x14ac:dyDescent="0.4"/>
    <row r="648" ht="12" customHeight="1" x14ac:dyDescent="0.4"/>
    <row r="649" ht="12" customHeight="1" x14ac:dyDescent="0.4"/>
    <row r="650" ht="12" customHeight="1" x14ac:dyDescent="0.4"/>
    <row r="651" ht="12" customHeight="1" x14ac:dyDescent="0.4"/>
    <row r="652" ht="12" customHeight="1" x14ac:dyDescent="0.4"/>
    <row r="653" ht="12" customHeight="1" x14ac:dyDescent="0.4"/>
    <row r="654" ht="12" customHeight="1" x14ac:dyDescent="0.4"/>
    <row r="655" ht="12" customHeight="1" x14ac:dyDescent="0.4"/>
    <row r="656" ht="12" customHeight="1" x14ac:dyDescent="0.4"/>
    <row r="657" ht="12" customHeight="1" x14ac:dyDescent="0.4"/>
    <row r="658" ht="12" customHeight="1" x14ac:dyDescent="0.4"/>
    <row r="659" ht="12" customHeight="1" x14ac:dyDescent="0.4"/>
    <row r="660" ht="12" customHeight="1" x14ac:dyDescent="0.4"/>
    <row r="661" ht="12" customHeight="1" x14ac:dyDescent="0.4"/>
    <row r="662" ht="12" customHeight="1" x14ac:dyDescent="0.4"/>
    <row r="663" ht="12" customHeight="1" x14ac:dyDescent="0.4"/>
    <row r="664" ht="12" customHeight="1" x14ac:dyDescent="0.4"/>
    <row r="665" ht="12" customHeight="1" x14ac:dyDescent="0.4"/>
    <row r="666" ht="12" customHeight="1" x14ac:dyDescent="0.4"/>
    <row r="667" ht="12" customHeight="1" x14ac:dyDescent="0.4"/>
    <row r="668" ht="12" customHeight="1" x14ac:dyDescent="0.4"/>
    <row r="669" ht="12" customHeight="1" x14ac:dyDescent="0.4"/>
    <row r="670" ht="12" customHeight="1" x14ac:dyDescent="0.4"/>
    <row r="671" ht="12" customHeight="1" x14ac:dyDescent="0.4"/>
    <row r="672" ht="12" customHeight="1" x14ac:dyDescent="0.4"/>
    <row r="673" ht="12" customHeight="1" x14ac:dyDescent="0.4"/>
    <row r="674" ht="12" customHeight="1" x14ac:dyDescent="0.4"/>
    <row r="675" ht="12" customHeight="1" x14ac:dyDescent="0.4"/>
    <row r="676" ht="12" customHeight="1" x14ac:dyDescent="0.4"/>
    <row r="677" ht="12" customHeight="1" x14ac:dyDescent="0.4"/>
    <row r="678" ht="12" customHeight="1" x14ac:dyDescent="0.4"/>
    <row r="679" ht="12" customHeight="1" x14ac:dyDescent="0.4"/>
    <row r="680" ht="12" customHeight="1" x14ac:dyDescent="0.4"/>
    <row r="681" ht="12" customHeight="1" x14ac:dyDescent="0.4"/>
    <row r="682" ht="12" customHeight="1" x14ac:dyDescent="0.4"/>
    <row r="683" ht="12" customHeight="1" x14ac:dyDescent="0.4"/>
    <row r="684" ht="12" customHeight="1" x14ac:dyDescent="0.4"/>
    <row r="685" ht="12" customHeight="1" x14ac:dyDescent="0.4"/>
    <row r="686" ht="12" customHeight="1" x14ac:dyDescent="0.4"/>
    <row r="687" ht="12" customHeight="1" x14ac:dyDescent="0.4"/>
    <row r="688" ht="12" customHeight="1" x14ac:dyDescent="0.4"/>
    <row r="689" ht="12" customHeight="1" x14ac:dyDescent="0.4"/>
    <row r="690" ht="12" customHeight="1" x14ac:dyDescent="0.4"/>
    <row r="691" ht="12" customHeight="1" x14ac:dyDescent="0.4"/>
    <row r="692" ht="12" customHeight="1" x14ac:dyDescent="0.4"/>
    <row r="693" ht="12" customHeight="1" x14ac:dyDescent="0.4"/>
    <row r="694" ht="12" customHeight="1" x14ac:dyDescent="0.4"/>
    <row r="695" ht="12" customHeight="1" x14ac:dyDescent="0.4"/>
    <row r="696" ht="12" customHeight="1" x14ac:dyDescent="0.4"/>
    <row r="697" ht="12" customHeight="1" x14ac:dyDescent="0.4"/>
    <row r="698" ht="12" customHeight="1" x14ac:dyDescent="0.4"/>
    <row r="699" ht="12" customHeight="1" x14ac:dyDescent="0.4"/>
    <row r="700" ht="12" customHeight="1" x14ac:dyDescent="0.4"/>
    <row r="701" ht="12" customHeight="1" x14ac:dyDescent="0.4"/>
    <row r="702" ht="12" customHeight="1" x14ac:dyDescent="0.4"/>
    <row r="703" ht="12" customHeight="1" x14ac:dyDescent="0.4"/>
    <row r="704" ht="12" customHeight="1" x14ac:dyDescent="0.4"/>
    <row r="705" ht="12" customHeight="1" x14ac:dyDescent="0.4"/>
    <row r="706" ht="12" customHeight="1" x14ac:dyDescent="0.4"/>
    <row r="707" ht="12" customHeight="1" x14ac:dyDescent="0.4"/>
    <row r="708" ht="12" customHeight="1" x14ac:dyDescent="0.4"/>
    <row r="709" ht="12" customHeight="1" x14ac:dyDescent="0.4"/>
    <row r="710" ht="12" customHeight="1" x14ac:dyDescent="0.4"/>
    <row r="711" ht="12" customHeight="1" x14ac:dyDescent="0.4"/>
    <row r="712" ht="12" customHeight="1" x14ac:dyDescent="0.4"/>
    <row r="713" ht="12" customHeight="1" x14ac:dyDescent="0.4"/>
    <row r="714" ht="12" customHeight="1" x14ac:dyDescent="0.4"/>
    <row r="715" ht="12" customHeight="1" x14ac:dyDescent="0.4"/>
    <row r="716" ht="12" customHeight="1" x14ac:dyDescent="0.4"/>
    <row r="717" ht="12" customHeight="1" x14ac:dyDescent="0.4"/>
    <row r="718" ht="12" customHeight="1" x14ac:dyDescent="0.4"/>
    <row r="719" ht="12" customHeight="1" x14ac:dyDescent="0.4"/>
    <row r="720" ht="12" customHeight="1" x14ac:dyDescent="0.4"/>
    <row r="721" ht="12" customHeight="1" x14ac:dyDescent="0.4"/>
    <row r="722" ht="12" customHeight="1" x14ac:dyDescent="0.4"/>
    <row r="723" ht="12" customHeight="1" x14ac:dyDescent="0.4"/>
    <row r="724" ht="12" customHeight="1" x14ac:dyDescent="0.4"/>
    <row r="725" ht="12" customHeight="1" x14ac:dyDescent="0.4"/>
    <row r="726" ht="12" customHeight="1" x14ac:dyDescent="0.4"/>
    <row r="727" ht="12" customHeight="1" x14ac:dyDescent="0.4"/>
    <row r="728" ht="12" customHeight="1" x14ac:dyDescent="0.4"/>
    <row r="729" ht="12" customHeight="1" x14ac:dyDescent="0.4"/>
    <row r="730" ht="12" customHeight="1" x14ac:dyDescent="0.4"/>
    <row r="731" ht="12" customHeight="1" x14ac:dyDescent="0.4"/>
    <row r="732" ht="12" customHeight="1" x14ac:dyDescent="0.4"/>
    <row r="733" ht="12" customHeight="1" x14ac:dyDescent="0.4"/>
    <row r="734" ht="12" customHeight="1" x14ac:dyDescent="0.4"/>
    <row r="735" ht="12" customHeight="1" x14ac:dyDescent="0.4"/>
    <row r="736" ht="12" customHeight="1" x14ac:dyDescent="0.4"/>
    <row r="737" ht="12" customHeight="1" x14ac:dyDescent="0.4"/>
    <row r="738" ht="12" customHeight="1" x14ac:dyDescent="0.4"/>
    <row r="739" ht="12" customHeight="1" x14ac:dyDescent="0.4"/>
    <row r="740" ht="12" customHeight="1" x14ac:dyDescent="0.4"/>
    <row r="741" ht="12" customHeight="1" x14ac:dyDescent="0.4"/>
    <row r="742" ht="12" customHeight="1" x14ac:dyDescent="0.4"/>
    <row r="743" ht="12" customHeight="1" x14ac:dyDescent="0.4"/>
    <row r="744" ht="12" customHeight="1" x14ac:dyDescent="0.4"/>
    <row r="745" ht="12" customHeight="1" x14ac:dyDescent="0.4"/>
    <row r="746" ht="12" customHeight="1" x14ac:dyDescent="0.4"/>
    <row r="747" ht="12" customHeight="1" x14ac:dyDescent="0.4"/>
    <row r="748" ht="12" customHeight="1" x14ac:dyDescent="0.4"/>
    <row r="749" ht="12" customHeight="1" x14ac:dyDescent="0.4"/>
    <row r="750" ht="12" customHeight="1" x14ac:dyDescent="0.4"/>
    <row r="751" ht="12" customHeight="1" x14ac:dyDescent="0.4"/>
    <row r="752" ht="12" customHeight="1" x14ac:dyDescent="0.4"/>
    <row r="753" ht="12" customHeight="1" x14ac:dyDescent="0.4"/>
    <row r="754" ht="12" customHeight="1" x14ac:dyDescent="0.4"/>
    <row r="755" ht="12" customHeight="1" x14ac:dyDescent="0.4"/>
    <row r="756" ht="12" customHeight="1" x14ac:dyDescent="0.4"/>
    <row r="757" ht="12" customHeight="1" x14ac:dyDescent="0.4"/>
    <row r="758" ht="12" customHeight="1" x14ac:dyDescent="0.4"/>
    <row r="759" ht="12" customHeight="1" x14ac:dyDescent="0.4"/>
    <row r="760" ht="12" customHeight="1" x14ac:dyDescent="0.4"/>
    <row r="761" ht="12" customHeight="1" x14ac:dyDescent="0.4"/>
    <row r="762" ht="12" customHeight="1" x14ac:dyDescent="0.4"/>
    <row r="763" ht="12" customHeight="1" x14ac:dyDescent="0.4"/>
    <row r="764" ht="12" customHeight="1" x14ac:dyDescent="0.4"/>
    <row r="765" ht="12" customHeight="1" x14ac:dyDescent="0.4"/>
    <row r="766" ht="12" customHeight="1" x14ac:dyDescent="0.4"/>
    <row r="767" ht="12" customHeight="1" x14ac:dyDescent="0.4"/>
    <row r="768" ht="12" customHeight="1" x14ac:dyDescent="0.4"/>
    <row r="769" ht="12" customHeight="1" x14ac:dyDescent="0.4"/>
    <row r="770" ht="12" customHeight="1" x14ac:dyDescent="0.4"/>
    <row r="771" ht="12" customHeight="1" x14ac:dyDescent="0.4"/>
    <row r="772" ht="12" customHeight="1" x14ac:dyDescent="0.4"/>
    <row r="773" ht="12" customHeight="1" x14ac:dyDescent="0.4"/>
    <row r="774" ht="12" customHeight="1" x14ac:dyDescent="0.4"/>
    <row r="775" ht="12" customHeight="1" x14ac:dyDescent="0.4"/>
    <row r="776" ht="12" customHeight="1" x14ac:dyDescent="0.4"/>
    <row r="777" ht="12" customHeight="1" x14ac:dyDescent="0.4"/>
    <row r="778" ht="12" customHeight="1" x14ac:dyDescent="0.4"/>
    <row r="779" ht="12" customHeight="1" x14ac:dyDescent="0.4"/>
    <row r="780" ht="12" customHeight="1" x14ac:dyDescent="0.4"/>
    <row r="781" ht="12" customHeight="1" x14ac:dyDescent="0.4"/>
    <row r="782" ht="12" customHeight="1" x14ac:dyDescent="0.4"/>
    <row r="783" ht="12" customHeight="1" x14ac:dyDescent="0.4"/>
    <row r="784" ht="12" customHeight="1" x14ac:dyDescent="0.4"/>
    <row r="785" ht="12" customHeight="1" x14ac:dyDescent="0.4"/>
    <row r="786" ht="12" customHeight="1" x14ac:dyDescent="0.4"/>
    <row r="787" ht="12" customHeight="1" x14ac:dyDescent="0.4"/>
    <row r="788" ht="12" customHeight="1" x14ac:dyDescent="0.4"/>
    <row r="789" ht="12" customHeight="1" x14ac:dyDescent="0.4"/>
    <row r="790" ht="12" customHeight="1" x14ac:dyDescent="0.4"/>
    <row r="791" ht="12" customHeight="1" x14ac:dyDescent="0.4"/>
    <row r="792" ht="12" customHeight="1" x14ac:dyDescent="0.4"/>
    <row r="793" ht="12" customHeight="1" x14ac:dyDescent="0.4"/>
    <row r="794" ht="12" customHeight="1" x14ac:dyDescent="0.4"/>
    <row r="795" ht="12" customHeight="1" x14ac:dyDescent="0.4"/>
    <row r="796" ht="12" customHeight="1" x14ac:dyDescent="0.4"/>
    <row r="797" ht="12" customHeight="1" x14ac:dyDescent="0.4"/>
    <row r="798" ht="12" customHeight="1" x14ac:dyDescent="0.4"/>
    <row r="799" ht="12" customHeight="1" x14ac:dyDescent="0.4"/>
    <row r="800" ht="12" customHeight="1" x14ac:dyDescent="0.4"/>
    <row r="801" ht="12" customHeight="1" x14ac:dyDescent="0.4"/>
    <row r="802" ht="12" customHeight="1" x14ac:dyDescent="0.4"/>
    <row r="803" ht="12" customHeight="1" x14ac:dyDescent="0.4"/>
    <row r="804" ht="12" customHeight="1" x14ac:dyDescent="0.4"/>
    <row r="805" ht="12" customHeight="1" x14ac:dyDescent="0.4"/>
    <row r="806" ht="12" customHeight="1" x14ac:dyDescent="0.4"/>
    <row r="807" ht="12" customHeight="1" x14ac:dyDescent="0.4"/>
    <row r="808" ht="12" customHeight="1" x14ac:dyDescent="0.4"/>
    <row r="809" ht="12" customHeight="1" x14ac:dyDescent="0.4"/>
    <row r="810" ht="12" customHeight="1" x14ac:dyDescent="0.4"/>
    <row r="811" ht="12" customHeight="1" x14ac:dyDescent="0.4"/>
    <row r="812" ht="12" customHeight="1" x14ac:dyDescent="0.4"/>
    <row r="813" ht="12" customHeight="1" x14ac:dyDescent="0.4"/>
    <row r="814" ht="12" customHeight="1" x14ac:dyDescent="0.4"/>
    <row r="815" ht="12" customHeight="1" x14ac:dyDescent="0.4"/>
    <row r="816" ht="12" customHeight="1" x14ac:dyDescent="0.4"/>
    <row r="817" ht="12" customHeight="1" x14ac:dyDescent="0.4"/>
    <row r="818" ht="12" customHeight="1" x14ac:dyDescent="0.4"/>
    <row r="819" ht="12" customHeight="1" x14ac:dyDescent="0.4"/>
    <row r="820" ht="12" customHeight="1" x14ac:dyDescent="0.4"/>
    <row r="821" ht="12" customHeight="1" x14ac:dyDescent="0.4"/>
    <row r="822" ht="12" customHeight="1" x14ac:dyDescent="0.4"/>
    <row r="823" ht="12" customHeight="1" x14ac:dyDescent="0.4"/>
    <row r="824" ht="12" customHeight="1" x14ac:dyDescent="0.4"/>
    <row r="825" ht="12" customHeight="1" x14ac:dyDescent="0.4"/>
    <row r="826" ht="12" customHeight="1" x14ac:dyDescent="0.4"/>
    <row r="827" ht="12" customHeight="1" x14ac:dyDescent="0.4"/>
    <row r="828" ht="12" customHeight="1" x14ac:dyDescent="0.4"/>
    <row r="829" ht="12" customHeight="1" x14ac:dyDescent="0.4"/>
    <row r="830" ht="12" customHeight="1" x14ac:dyDescent="0.4"/>
    <row r="831" ht="12" customHeight="1" x14ac:dyDescent="0.4"/>
    <row r="832" ht="12" customHeight="1" x14ac:dyDescent="0.4"/>
    <row r="833" ht="12" customHeight="1" x14ac:dyDescent="0.4"/>
    <row r="834" ht="12" customHeight="1" x14ac:dyDescent="0.4"/>
    <row r="835" ht="12" customHeight="1" x14ac:dyDescent="0.4"/>
    <row r="836" ht="12" customHeight="1" x14ac:dyDescent="0.4"/>
    <row r="837" ht="12" customHeight="1" x14ac:dyDescent="0.4"/>
    <row r="838" ht="12" customHeight="1" x14ac:dyDescent="0.4"/>
    <row r="839" ht="12" customHeight="1" x14ac:dyDescent="0.4"/>
    <row r="840" ht="12" customHeight="1" x14ac:dyDescent="0.4"/>
    <row r="841" ht="12" customHeight="1" x14ac:dyDescent="0.4"/>
    <row r="842" ht="12" customHeight="1" x14ac:dyDescent="0.4"/>
    <row r="843" ht="12" customHeight="1" x14ac:dyDescent="0.4"/>
    <row r="844" ht="12" customHeight="1" x14ac:dyDescent="0.4"/>
    <row r="845" ht="12" customHeight="1" x14ac:dyDescent="0.4"/>
    <row r="846" ht="12" customHeight="1" x14ac:dyDescent="0.4"/>
    <row r="847" ht="12" customHeight="1" x14ac:dyDescent="0.4"/>
    <row r="848" ht="12" customHeight="1" x14ac:dyDescent="0.4"/>
    <row r="849" ht="12" customHeight="1" x14ac:dyDescent="0.4"/>
    <row r="850" ht="12" customHeight="1" x14ac:dyDescent="0.4"/>
    <row r="851" ht="12" customHeight="1" x14ac:dyDescent="0.4"/>
    <row r="852" ht="12" customHeight="1" x14ac:dyDescent="0.4"/>
    <row r="853" ht="12" customHeight="1" x14ac:dyDescent="0.4"/>
    <row r="854" ht="12" customHeight="1" x14ac:dyDescent="0.4"/>
    <row r="855" ht="12" customHeight="1" x14ac:dyDescent="0.4"/>
    <row r="856" ht="12" customHeight="1" x14ac:dyDescent="0.4"/>
    <row r="857" ht="12" customHeight="1" x14ac:dyDescent="0.4"/>
    <row r="858" ht="12" customHeight="1" x14ac:dyDescent="0.4"/>
    <row r="859" ht="12" customHeight="1" x14ac:dyDescent="0.4"/>
    <row r="860" ht="12" customHeight="1" x14ac:dyDescent="0.4"/>
    <row r="861" ht="12" customHeight="1" x14ac:dyDescent="0.4"/>
    <row r="862" ht="12" customHeight="1" x14ac:dyDescent="0.4"/>
    <row r="863" ht="12" customHeight="1" x14ac:dyDescent="0.4"/>
    <row r="864" ht="12" customHeight="1" x14ac:dyDescent="0.4"/>
    <row r="865" ht="12" customHeight="1" x14ac:dyDescent="0.4"/>
    <row r="866" ht="12" customHeight="1" x14ac:dyDescent="0.4"/>
    <row r="867" ht="12" customHeight="1" x14ac:dyDescent="0.4"/>
    <row r="868" ht="12" customHeight="1" x14ac:dyDescent="0.4"/>
    <row r="869" ht="12" customHeight="1" x14ac:dyDescent="0.4"/>
    <row r="870" ht="12" customHeight="1" x14ac:dyDescent="0.4"/>
    <row r="871" ht="12" customHeight="1" x14ac:dyDescent="0.4"/>
    <row r="872" ht="12" customHeight="1" x14ac:dyDescent="0.4"/>
    <row r="873" ht="12" customHeight="1" x14ac:dyDescent="0.4"/>
    <row r="874" ht="12" customHeight="1" x14ac:dyDescent="0.4"/>
    <row r="875" ht="12" customHeight="1" x14ac:dyDescent="0.4"/>
    <row r="876" ht="12" customHeight="1" x14ac:dyDescent="0.4"/>
    <row r="877" ht="12" customHeight="1" x14ac:dyDescent="0.4"/>
    <row r="878" ht="12" customHeight="1" x14ac:dyDescent="0.4"/>
    <row r="879" ht="12" customHeight="1" x14ac:dyDescent="0.4"/>
    <row r="880" ht="12" customHeight="1" x14ac:dyDescent="0.4"/>
    <row r="881" ht="12" customHeight="1" x14ac:dyDescent="0.4"/>
    <row r="882" ht="12" customHeight="1" x14ac:dyDescent="0.4"/>
    <row r="883" ht="12" customHeight="1" x14ac:dyDescent="0.4"/>
    <row r="884" ht="12" customHeight="1" x14ac:dyDescent="0.4"/>
    <row r="885" ht="12" customHeight="1" x14ac:dyDescent="0.4"/>
    <row r="886" ht="12" customHeight="1" x14ac:dyDescent="0.4"/>
    <row r="887" ht="12" customHeight="1" x14ac:dyDescent="0.4"/>
    <row r="888" ht="12" customHeight="1" x14ac:dyDescent="0.4"/>
    <row r="889" ht="12" customHeight="1" x14ac:dyDescent="0.4"/>
    <row r="890" ht="12" customHeight="1" x14ac:dyDescent="0.4"/>
    <row r="891" ht="12" customHeight="1" x14ac:dyDescent="0.4"/>
    <row r="892" ht="12" customHeight="1" x14ac:dyDescent="0.4"/>
    <row r="893" ht="12" customHeight="1" x14ac:dyDescent="0.4"/>
    <row r="894" ht="12" customHeight="1" x14ac:dyDescent="0.4"/>
    <row r="895" ht="12" customHeight="1" x14ac:dyDescent="0.4"/>
    <row r="896" ht="12" customHeight="1" x14ac:dyDescent="0.4"/>
    <row r="897" ht="12" customHeight="1" x14ac:dyDescent="0.4"/>
    <row r="898" ht="12" customHeight="1" x14ac:dyDescent="0.4"/>
    <row r="899" ht="12" customHeight="1" x14ac:dyDescent="0.4"/>
    <row r="900" ht="12" customHeight="1" x14ac:dyDescent="0.4"/>
    <row r="901" ht="12" customHeight="1" x14ac:dyDescent="0.4"/>
    <row r="902" ht="12" customHeight="1" x14ac:dyDescent="0.4"/>
    <row r="903" ht="12" customHeight="1" x14ac:dyDescent="0.4"/>
    <row r="904" ht="12" customHeight="1" x14ac:dyDescent="0.4"/>
    <row r="905" ht="12" customHeight="1" x14ac:dyDescent="0.4"/>
    <row r="906" ht="12" customHeight="1" x14ac:dyDescent="0.4"/>
    <row r="907" ht="12" customHeight="1" x14ac:dyDescent="0.4"/>
    <row r="908" ht="12" customHeight="1" x14ac:dyDescent="0.4"/>
    <row r="909" ht="12" customHeight="1" x14ac:dyDescent="0.4"/>
    <row r="910" ht="12" customHeight="1" x14ac:dyDescent="0.4"/>
    <row r="911" ht="12" customHeight="1" x14ac:dyDescent="0.4"/>
    <row r="912" ht="12" customHeight="1" x14ac:dyDescent="0.4"/>
    <row r="913" ht="12" customHeight="1" x14ac:dyDescent="0.4"/>
    <row r="914" ht="12" customHeight="1" x14ac:dyDescent="0.4"/>
    <row r="915" ht="12" customHeight="1" x14ac:dyDescent="0.4"/>
    <row r="916" ht="12" customHeight="1" x14ac:dyDescent="0.4"/>
    <row r="917" ht="12" customHeight="1" x14ac:dyDescent="0.4"/>
    <row r="918" ht="12" customHeight="1" x14ac:dyDescent="0.4"/>
    <row r="919" ht="12" customHeight="1" x14ac:dyDescent="0.4"/>
    <row r="920" ht="12" customHeight="1" x14ac:dyDescent="0.4"/>
    <row r="921" ht="12" customHeight="1" x14ac:dyDescent="0.4"/>
    <row r="922" ht="12" customHeight="1" x14ac:dyDescent="0.4"/>
    <row r="923" ht="12" customHeight="1" x14ac:dyDescent="0.4"/>
    <row r="924" ht="12" customHeight="1" x14ac:dyDescent="0.4"/>
    <row r="925" ht="12" customHeight="1" x14ac:dyDescent="0.4"/>
    <row r="926" ht="12" customHeight="1" x14ac:dyDescent="0.4"/>
    <row r="927" ht="12" customHeight="1" x14ac:dyDescent="0.4"/>
    <row r="928" ht="12" customHeight="1" x14ac:dyDescent="0.4"/>
    <row r="929" ht="12" customHeight="1" x14ac:dyDescent="0.4"/>
    <row r="930" ht="12" customHeight="1" x14ac:dyDescent="0.4"/>
    <row r="931" ht="12" customHeight="1" x14ac:dyDescent="0.4"/>
    <row r="932" ht="12" customHeight="1" x14ac:dyDescent="0.4"/>
    <row r="933" ht="12" customHeight="1" x14ac:dyDescent="0.4"/>
    <row r="934" ht="12" customHeight="1" x14ac:dyDescent="0.4"/>
    <row r="935" ht="12" customHeight="1" x14ac:dyDescent="0.4"/>
    <row r="936" ht="12" customHeight="1" x14ac:dyDescent="0.4"/>
    <row r="937" ht="12" customHeight="1" x14ac:dyDescent="0.4"/>
    <row r="938" ht="12" customHeight="1" x14ac:dyDescent="0.4"/>
    <row r="939" ht="12" customHeight="1" x14ac:dyDescent="0.4"/>
    <row r="940" ht="12" customHeight="1" x14ac:dyDescent="0.4"/>
    <row r="941" ht="12" customHeight="1" x14ac:dyDescent="0.4"/>
    <row r="942" ht="12" customHeight="1" x14ac:dyDescent="0.4"/>
    <row r="943" ht="12" customHeight="1" x14ac:dyDescent="0.4"/>
    <row r="944" ht="12" customHeight="1" x14ac:dyDescent="0.4"/>
    <row r="945" ht="12" customHeight="1" x14ac:dyDescent="0.4"/>
    <row r="946" ht="12" customHeight="1" x14ac:dyDescent="0.4"/>
    <row r="947" ht="12" customHeight="1" x14ac:dyDescent="0.4"/>
    <row r="948" ht="12" customHeight="1" x14ac:dyDescent="0.4"/>
    <row r="949" ht="12" customHeight="1" x14ac:dyDescent="0.4"/>
    <row r="950" ht="12" customHeight="1" x14ac:dyDescent="0.4"/>
    <row r="951" ht="12" customHeight="1" x14ac:dyDescent="0.4"/>
    <row r="952" ht="12" customHeight="1" x14ac:dyDescent="0.4"/>
    <row r="953" ht="12" customHeight="1" x14ac:dyDescent="0.4"/>
    <row r="954" ht="12" customHeight="1" x14ac:dyDescent="0.4"/>
    <row r="955" ht="12" customHeight="1" x14ac:dyDescent="0.4"/>
    <row r="956" ht="12" customHeight="1" x14ac:dyDescent="0.4"/>
    <row r="957" ht="12" customHeight="1" x14ac:dyDescent="0.4"/>
    <row r="958" ht="12" customHeight="1" x14ac:dyDescent="0.4"/>
    <row r="959" ht="12" customHeight="1" x14ac:dyDescent="0.4"/>
    <row r="960" ht="12" customHeight="1" x14ac:dyDescent="0.4"/>
    <row r="961" ht="12" customHeight="1" x14ac:dyDescent="0.4"/>
    <row r="962" ht="12" customHeight="1" x14ac:dyDescent="0.4"/>
    <row r="963" ht="12" customHeight="1" x14ac:dyDescent="0.4"/>
    <row r="964" ht="12" customHeight="1" x14ac:dyDescent="0.4"/>
    <row r="965" ht="12" customHeight="1" x14ac:dyDescent="0.4"/>
    <row r="966" ht="12" customHeight="1" x14ac:dyDescent="0.4"/>
    <row r="967" ht="12" customHeight="1" x14ac:dyDescent="0.4"/>
    <row r="968" ht="12" customHeight="1" x14ac:dyDescent="0.4"/>
    <row r="969" ht="12" customHeight="1" x14ac:dyDescent="0.4"/>
    <row r="970" ht="12" customHeight="1" x14ac:dyDescent="0.4"/>
    <row r="971" ht="12" customHeight="1" x14ac:dyDescent="0.4"/>
    <row r="972" ht="12" customHeight="1" x14ac:dyDescent="0.4"/>
    <row r="973" ht="12" customHeight="1" x14ac:dyDescent="0.4"/>
    <row r="974" ht="12" customHeight="1" x14ac:dyDescent="0.4"/>
  </sheetData>
  <autoFilter ref="A3:E3" xr:uid="{00000000-0001-0000-0300-000000000000}">
    <sortState xmlns:xlrd2="http://schemas.microsoft.com/office/spreadsheetml/2017/richdata2" ref="A4:E21">
      <sortCondition descending="1" ref="C3:C19"/>
    </sortState>
  </autoFilter>
  <mergeCells count="4">
    <mergeCell ref="G15:J16"/>
    <mergeCell ref="G17:J18"/>
    <mergeCell ref="G19:J20"/>
    <mergeCell ref="G21:J21"/>
  </mergeCells>
  <phoneticPr fontId="33" type="noConversion"/>
  <pageMargins left="0.75" right="0.75" top="1" bottom="1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B1"/>
  <sheetViews>
    <sheetView workbookViewId="0">
      <selection sqref="A1:XFD1"/>
    </sheetView>
  </sheetViews>
  <sheetFormatPr defaultColWidth="14.44140625" defaultRowHeight="15" customHeight="1" x14ac:dyDescent="0.4"/>
  <sheetData>
    <row r="1" spans="1:2" ht="25.5" customHeight="1" x14ac:dyDescent="0.4">
      <c r="A1" s="96" t="s">
        <v>82</v>
      </c>
      <c r="B1" s="97"/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C000"/>
  </sheetPr>
  <dimension ref="A1:Z1000"/>
  <sheetViews>
    <sheetView workbookViewId="0"/>
  </sheetViews>
  <sheetFormatPr defaultColWidth="14.44140625" defaultRowHeight="15" customHeight="1" x14ac:dyDescent="0.4"/>
  <cols>
    <col min="1" max="26" width="8.71875" customWidth="1"/>
  </cols>
  <sheetData>
    <row r="1" spans="1:26" ht="12" customHeight="1" x14ac:dyDescent="0.75">
      <c r="A1" s="74" t="s">
        <v>83</v>
      </c>
      <c r="B1" s="74"/>
      <c r="C1" s="74"/>
      <c r="D1" s="74"/>
      <c r="E1" s="74"/>
      <c r="F1" s="74"/>
      <c r="G1" s="74" t="s">
        <v>84</v>
      </c>
      <c r="H1" s="74"/>
      <c r="I1" s="74"/>
      <c r="J1" s="74"/>
      <c r="K1" s="74"/>
      <c r="L1" s="74" t="s">
        <v>85</v>
      </c>
      <c r="M1" s="74"/>
      <c r="N1" s="74"/>
      <c r="O1" s="74"/>
      <c r="P1" s="74"/>
      <c r="Q1" s="74"/>
      <c r="R1" s="74" t="s">
        <v>86</v>
      </c>
      <c r="S1" s="74"/>
      <c r="T1" s="74"/>
      <c r="U1" s="74"/>
      <c r="V1" s="74"/>
      <c r="W1" s="74"/>
      <c r="X1" s="74"/>
      <c r="Y1" s="74"/>
      <c r="Z1" s="74"/>
    </row>
    <row r="2" spans="1:26" ht="12" customHeight="1" x14ac:dyDescent="0.4"/>
    <row r="3" spans="1:26" ht="12" customHeight="1" x14ac:dyDescent="0.4"/>
    <row r="4" spans="1:26" ht="12" customHeight="1" x14ac:dyDescent="0.4"/>
    <row r="5" spans="1:26" ht="12" customHeight="1" x14ac:dyDescent="0.4"/>
    <row r="6" spans="1:26" ht="12" customHeight="1" x14ac:dyDescent="0.4"/>
    <row r="7" spans="1:26" ht="12" customHeight="1" x14ac:dyDescent="0.4"/>
    <row r="8" spans="1:26" ht="12" customHeight="1" x14ac:dyDescent="0.4"/>
    <row r="9" spans="1:26" ht="12" customHeight="1" x14ac:dyDescent="0.4"/>
    <row r="10" spans="1:26" ht="12" customHeight="1" x14ac:dyDescent="0.4"/>
    <row r="11" spans="1:26" ht="12" customHeight="1" x14ac:dyDescent="0.4"/>
    <row r="12" spans="1:26" ht="12" customHeight="1" x14ac:dyDescent="0.4"/>
    <row r="13" spans="1:26" ht="12" customHeight="1" x14ac:dyDescent="0.4"/>
    <row r="14" spans="1:26" ht="12" customHeight="1" x14ac:dyDescent="0.4"/>
    <row r="15" spans="1:26" ht="12" customHeight="1" x14ac:dyDescent="0.4"/>
    <row r="16" spans="1:26" ht="12" customHeight="1" x14ac:dyDescent="0.4"/>
    <row r="17" ht="12" customHeight="1" x14ac:dyDescent="0.4"/>
    <row r="18" ht="12" customHeight="1" x14ac:dyDescent="0.4"/>
    <row r="19" ht="12" customHeight="1" x14ac:dyDescent="0.4"/>
    <row r="20" ht="12" customHeight="1" x14ac:dyDescent="0.4"/>
    <row r="21" ht="12" customHeight="1" x14ac:dyDescent="0.4"/>
    <row r="22" ht="12" customHeight="1" x14ac:dyDescent="0.4"/>
    <row r="23" ht="12" customHeight="1" x14ac:dyDescent="0.4"/>
    <row r="24" ht="12" customHeight="1" x14ac:dyDescent="0.4"/>
    <row r="25" ht="12" customHeight="1" x14ac:dyDescent="0.4"/>
    <row r="26" ht="12" customHeight="1" x14ac:dyDescent="0.4"/>
    <row r="27" ht="12" customHeight="1" x14ac:dyDescent="0.4"/>
    <row r="28" ht="12" customHeight="1" x14ac:dyDescent="0.4"/>
    <row r="29" ht="12" customHeight="1" x14ac:dyDescent="0.4"/>
    <row r="30" ht="12" customHeight="1" x14ac:dyDescent="0.4"/>
    <row r="31" ht="12" customHeight="1" x14ac:dyDescent="0.4"/>
    <row r="32" ht="12" customHeight="1" x14ac:dyDescent="0.4"/>
    <row r="33" ht="12" customHeight="1" x14ac:dyDescent="0.4"/>
    <row r="34" ht="12" customHeight="1" x14ac:dyDescent="0.4"/>
    <row r="35" ht="12" customHeight="1" x14ac:dyDescent="0.4"/>
    <row r="36" ht="12" customHeight="1" x14ac:dyDescent="0.4"/>
    <row r="37" ht="12" customHeight="1" x14ac:dyDescent="0.4"/>
    <row r="38" ht="12" customHeight="1" x14ac:dyDescent="0.4"/>
    <row r="39" ht="12" customHeight="1" x14ac:dyDescent="0.4"/>
    <row r="40" ht="12" customHeight="1" x14ac:dyDescent="0.4"/>
    <row r="41" ht="12" customHeight="1" x14ac:dyDescent="0.4"/>
    <row r="42" ht="12" customHeight="1" x14ac:dyDescent="0.4"/>
    <row r="43" ht="12" customHeight="1" x14ac:dyDescent="0.4"/>
    <row r="44" ht="12" customHeight="1" x14ac:dyDescent="0.4"/>
    <row r="45" ht="12" customHeight="1" x14ac:dyDescent="0.4"/>
    <row r="46" ht="12" customHeight="1" x14ac:dyDescent="0.4"/>
    <row r="47" ht="12" customHeight="1" x14ac:dyDescent="0.4"/>
    <row r="48" ht="12" customHeight="1" x14ac:dyDescent="0.4"/>
    <row r="49" ht="12" customHeight="1" x14ac:dyDescent="0.4"/>
    <row r="50" ht="12" customHeight="1" x14ac:dyDescent="0.4"/>
    <row r="51" ht="12" customHeight="1" x14ac:dyDescent="0.4"/>
    <row r="52" ht="12" customHeight="1" x14ac:dyDescent="0.4"/>
    <row r="53" ht="12" customHeight="1" x14ac:dyDescent="0.4"/>
    <row r="54" ht="12" customHeight="1" x14ac:dyDescent="0.4"/>
    <row r="55" ht="12" customHeight="1" x14ac:dyDescent="0.4"/>
    <row r="56" ht="12" customHeight="1" x14ac:dyDescent="0.4"/>
    <row r="57" ht="12" customHeight="1" x14ac:dyDescent="0.4"/>
    <row r="58" ht="12" customHeight="1" x14ac:dyDescent="0.4"/>
    <row r="59" ht="12" customHeight="1" x14ac:dyDescent="0.4"/>
    <row r="60" ht="12" customHeight="1" x14ac:dyDescent="0.4"/>
    <row r="61" ht="12" customHeight="1" x14ac:dyDescent="0.4"/>
    <row r="62" ht="12" customHeight="1" x14ac:dyDescent="0.4"/>
    <row r="63" ht="12" customHeight="1" x14ac:dyDescent="0.4"/>
    <row r="64" ht="12" customHeight="1" x14ac:dyDescent="0.4"/>
    <row r="65" ht="12" customHeight="1" x14ac:dyDescent="0.4"/>
    <row r="66" ht="12" customHeight="1" x14ac:dyDescent="0.4"/>
    <row r="67" ht="12" customHeight="1" x14ac:dyDescent="0.4"/>
    <row r="68" ht="12" customHeight="1" x14ac:dyDescent="0.4"/>
    <row r="69" ht="12" customHeight="1" x14ac:dyDescent="0.4"/>
    <row r="70" ht="12" customHeight="1" x14ac:dyDescent="0.4"/>
    <row r="71" ht="12" customHeight="1" x14ac:dyDescent="0.4"/>
    <row r="72" ht="12" customHeight="1" x14ac:dyDescent="0.4"/>
    <row r="73" ht="12" customHeight="1" x14ac:dyDescent="0.4"/>
    <row r="74" ht="12" customHeight="1" x14ac:dyDescent="0.4"/>
    <row r="75" ht="12" customHeight="1" x14ac:dyDescent="0.4"/>
    <row r="76" ht="12" customHeight="1" x14ac:dyDescent="0.4"/>
    <row r="77" ht="12" customHeight="1" x14ac:dyDescent="0.4"/>
    <row r="78" ht="12" customHeight="1" x14ac:dyDescent="0.4"/>
    <row r="79" ht="12" customHeight="1" x14ac:dyDescent="0.4"/>
    <row r="80" ht="12" customHeight="1" x14ac:dyDescent="0.4"/>
    <row r="81" ht="12" customHeight="1" x14ac:dyDescent="0.4"/>
    <row r="82" ht="12" customHeight="1" x14ac:dyDescent="0.4"/>
    <row r="83" ht="12" customHeight="1" x14ac:dyDescent="0.4"/>
    <row r="84" ht="12" customHeight="1" x14ac:dyDescent="0.4"/>
    <row r="85" ht="12" customHeight="1" x14ac:dyDescent="0.4"/>
    <row r="86" ht="12" customHeight="1" x14ac:dyDescent="0.4"/>
    <row r="87" ht="12" customHeight="1" x14ac:dyDescent="0.4"/>
    <row r="88" ht="12" customHeight="1" x14ac:dyDescent="0.4"/>
    <row r="89" ht="12" customHeight="1" x14ac:dyDescent="0.4"/>
    <row r="90" ht="12" customHeight="1" x14ac:dyDescent="0.4"/>
    <row r="91" ht="12" customHeight="1" x14ac:dyDescent="0.4"/>
    <row r="92" ht="12" customHeight="1" x14ac:dyDescent="0.4"/>
    <row r="93" ht="12" customHeight="1" x14ac:dyDescent="0.4"/>
    <row r="94" ht="12" customHeight="1" x14ac:dyDescent="0.4"/>
    <row r="95" ht="12" customHeight="1" x14ac:dyDescent="0.4"/>
    <row r="96" ht="12" customHeight="1" x14ac:dyDescent="0.4"/>
    <row r="97" ht="12" customHeight="1" x14ac:dyDescent="0.4"/>
    <row r="98" ht="12" customHeight="1" x14ac:dyDescent="0.4"/>
    <row r="99" ht="12" customHeight="1" x14ac:dyDescent="0.4"/>
    <row r="100" ht="12" customHeight="1" x14ac:dyDescent="0.4"/>
    <row r="101" ht="12" customHeight="1" x14ac:dyDescent="0.4"/>
    <row r="102" ht="12" customHeight="1" x14ac:dyDescent="0.4"/>
    <row r="103" ht="12" customHeight="1" x14ac:dyDescent="0.4"/>
    <row r="104" ht="12" customHeight="1" x14ac:dyDescent="0.4"/>
    <row r="105" ht="12" customHeight="1" x14ac:dyDescent="0.4"/>
    <row r="106" ht="12" customHeight="1" x14ac:dyDescent="0.4"/>
    <row r="107" ht="12" customHeight="1" x14ac:dyDescent="0.4"/>
    <row r="108" ht="12" customHeight="1" x14ac:dyDescent="0.4"/>
    <row r="109" ht="12" customHeight="1" x14ac:dyDescent="0.4"/>
    <row r="110" ht="12" customHeight="1" x14ac:dyDescent="0.4"/>
    <row r="111" ht="12" customHeight="1" x14ac:dyDescent="0.4"/>
    <row r="112" ht="12" customHeight="1" x14ac:dyDescent="0.4"/>
    <row r="113" ht="12" customHeight="1" x14ac:dyDescent="0.4"/>
    <row r="114" ht="12" customHeight="1" x14ac:dyDescent="0.4"/>
    <row r="115" ht="12" customHeight="1" x14ac:dyDescent="0.4"/>
    <row r="116" ht="12" customHeight="1" x14ac:dyDescent="0.4"/>
    <row r="117" ht="12" customHeight="1" x14ac:dyDescent="0.4"/>
    <row r="118" ht="12" customHeight="1" x14ac:dyDescent="0.4"/>
    <row r="119" ht="12" customHeight="1" x14ac:dyDescent="0.4"/>
    <row r="120" ht="12" customHeight="1" x14ac:dyDescent="0.4"/>
    <row r="121" ht="12" customHeight="1" x14ac:dyDescent="0.4"/>
    <row r="122" ht="12" customHeight="1" x14ac:dyDescent="0.4"/>
    <row r="123" ht="12" customHeight="1" x14ac:dyDescent="0.4"/>
    <row r="124" ht="12" customHeight="1" x14ac:dyDescent="0.4"/>
    <row r="125" ht="12" customHeight="1" x14ac:dyDescent="0.4"/>
    <row r="126" ht="12" customHeight="1" x14ac:dyDescent="0.4"/>
    <row r="127" ht="12" customHeight="1" x14ac:dyDescent="0.4"/>
    <row r="128" ht="12" customHeight="1" x14ac:dyDescent="0.4"/>
    <row r="129" ht="12" customHeight="1" x14ac:dyDescent="0.4"/>
    <row r="130" ht="12" customHeight="1" x14ac:dyDescent="0.4"/>
    <row r="131" ht="12" customHeight="1" x14ac:dyDescent="0.4"/>
    <row r="132" ht="12" customHeight="1" x14ac:dyDescent="0.4"/>
    <row r="133" ht="12" customHeight="1" x14ac:dyDescent="0.4"/>
    <row r="134" ht="12" customHeight="1" x14ac:dyDescent="0.4"/>
    <row r="135" ht="12" customHeight="1" x14ac:dyDescent="0.4"/>
    <row r="136" ht="12" customHeight="1" x14ac:dyDescent="0.4"/>
    <row r="137" ht="12" customHeight="1" x14ac:dyDescent="0.4"/>
    <row r="138" ht="12" customHeight="1" x14ac:dyDescent="0.4"/>
    <row r="139" ht="12" customHeight="1" x14ac:dyDescent="0.4"/>
    <row r="140" ht="12" customHeight="1" x14ac:dyDescent="0.4"/>
    <row r="141" ht="12" customHeight="1" x14ac:dyDescent="0.4"/>
    <row r="142" ht="12" customHeight="1" x14ac:dyDescent="0.4"/>
    <row r="143" ht="12" customHeight="1" x14ac:dyDescent="0.4"/>
    <row r="144" ht="12" customHeight="1" x14ac:dyDescent="0.4"/>
    <row r="145" ht="12" customHeight="1" x14ac:dyDescent="0.4"/>
    <row r="146" ht="12" customHeight="1" x14ac:dyDescent="0.4"/>
    <row r="147" ht="12" customHeight="1" x14ac:dyDescent="0.4"/>
    <row r="148" ht="12" customHeight="1" x14ac:dyDescent="0.4"/>
    <row r="149" ht="12" customHeight="1" x14ac:dyDescent="0.4"/>
    <row r="150" ht="12" customHeight="1" x14ac:dyDescent="0.4"/>
    <row r="151" ht="12" customHeight="1" x14ac:dyDescent="0.4"/>
    <row r="152" ht="12" customHeight="1" x14ac:dyDescent="0.4"/>
    <row r="153" ht="12" customHeight="1" x14ac:dyDescent="0.4"/>
    <row r="154" ht="12" customHeight="1" x14ac:dyDescent="0.4"/>
    <row r="155" ht="12" customHeight="1" x14ac:dyDescent="0.4"/>
    <row r="156" ht="12" customHeight="1" x14ac:dyDescent="0.4"/>
    <row r="157" ht="12" customHeight="1" x14ac:dyDescent="0.4"/>
    <row r="158" ht="12" customHeight="1" x14ac:dyDescent="0.4"/>
    <row r="159" ht="12" customHeight="1" x14ac:dyDescent="0.4"/>
    <row r="160" ht="12" customHeight="1" x14ac:dyDescent="0.4"/>
    <row r="161" ht="12" customHeight="1" x14ac:dyDescent="0.4"/>
    <row r="162" ht="12" customHeight="1" x14ac:dyDescent="0.4"/>
    <row r="163" ht="12" customHeight="1" x14ac:dyDescent="0.4"/>
    <row r="164" ht="12" customHeight="1" x14ac:dyDescent="0.4"/>
    <row r="165" ht="12" customHeight="1" x14ac:dyDescent="0.4"/>
    <row r="166" ht="12" customHeight="1" x14ac:dyDescent="0.4"/>
    <row r="167" ht="12" customHeight="1" x14ac:dyDescent="0.4"/>
    <row r="168" ht="12" customHeight="1" x14ac:dyDescent="0.4"/>
    <row r="169" ht="12" customHeight="1" x14ac:dyDescent="0.4"/>
    <row r="170" ht="12" customHeight="1" x14ac:dyDescent="0.4"/>
    <row r="171" ht="12" customHeight="1" x14ac:dyDescent="0.4"/>
    <row r="172" ht="12" customHeight="1" x14ac:dyDescent="0.4"/>
    <row r="173" ht="12" customHeight="1" x14ac:dyDescent="0.4"/>
    <row r="174" ht="12" customHeight="1" x14ac:dyDescent="0.4"/>
    <row r="175" ht="12" customHeight="1" x14ac:dyDescent="0.4"/>
    <row r="176" ht="12" customHeight="1" x14ac:dyDescent="0.4"/>
    <row r="177" ht="12" customHeight="1" x14ac:dyDescent="0.4"/>
    <row r="178" ht="12" customHeight="1" x14ac:dyDescent="0.4"/>
    <row r="179" ht="12" customHeight="1" x14ac:dyDescent="0.4"/>
    <row r="180" ht="12" customHeight="1" x14ac:dyDescent="0.4"/>
    <row r="181" ht="12" customHeight="1" x14ac:dyDescent="0.4"/>
    <row r="182" ht="12" customHeight="1" x14ac:dyDescent="0.4"/>
    <row r="183" ht="12" customHeight="1" x14ac:dyDescent="0.4"/>
    <row r="184" ht="12" customHeight="1" x14ac:dyDescent="0.4"/>
    <row r="185" ht="12" customHeight="1" x14ac:dyDescent="0.4"/>
    <row r="186" ht="12" customHeight="1" x14ac:dyDescent="0.4"/>
    <row r="187" ht="12" customHeight="1" x14ac:dyDescent="0.4"/>
    <row r="188" ht="12" customHeight="1" x14ac:dyDescent="0.4"/>
    <row r="189" ht="12" customHeight="1" x14ac:dyDescent="0.4"/>
    <row r="190" ht="12" customHeight="1" x14ac:dyDescent="0.4"/>
    <row r="191" ht="12" customHeight="1" x14ac:dyDescent="0.4"/>
    <row r="192" ht="12" customHeight="1" x14ac:dyDescent="0.4"/>
    <row r="193" ht="12" customHeight="1" x14ac:dyDescent="0.4"/>
    <row r="194" ht="12" customHeight="1" x14ac:dyDescent="0.4"/>
    <row r="195" ht="12" customHeight="1" x14ac:dyDescent="0.4"/>
    <row r="196" ht="12" customHeight="1" x14ac:dyDescent="0.4"/>
    <row r="197" ht="12" customHeight="1" x14ac:dyDescent="0.4"/>
    <row r="198" ht="12" customHeight="1" x14ac:dyDescent="0.4"/>
    <row r="199" ht="12" customHeight="1" x14ac:dyDescent="0.4"/>
    <row r="200" ht="12" customHeight="1" x14ac:dyDescent="0.4"/>
    <row r="201" ht="12" customHeight="1" x14ac:dyDescent="0.4"/>
    <row r="202" ht="12" customHeight="1" x14ac:dyDescent="0.4"/>
    <row r="203" ht="12" customHeight="1" x14ac:dyDescent="0.4"/>
    <row r="204" ht="12" customHeight="1" x14ac:dyDescent="0.4"/>
    <row r="205" ht="12" customHeight="1" x14ac:dyDescent="0.4"/>
    <row r="206" ht="12" customHeight="1" x14ac:dyDescent="0.4"/>
    <row r="207" ht="12" customHeight="1" x14ac:dyDescent="0.4"/>
    <row r="208" ht="12" customHeight="1" x14ac:dyDescent="0.4"/>
    <row r="209" ht="12" customHeight="1" x14ac:dyDescent="0.4"/>
    <row r="210" ht="12" customHeight="1" x14ac:dyDescent="0.4"/>
    <row r="211" ht="12" customHeight="1" x14ac:dyDescent="0.4"/>
    <row r="212" ht="12" customHeight="1" x14ac:dyDescent="0.4"/>
    <row r="213" ht="12" customHeight="1" x14ac:dyDescent="0.4"/>
    <row r="214" ht="12" customHeight="1" x14ac:dyDescent="0.4"/>
    <row r="215" ht="12" customHeight="1" x14ac:dyDescent="0.4"/>
    <row r="216" ht="12" customHeight="1" x14ac:dyDescent="0.4"/>
    <row r="217" ht="12" customHeight="1" x14ac:dyDescent="0.4"/>
    <row r="218" ht="12" customHeight="1" x14ac:dyDescent="0.4"/>
    <row r="219" ht="12" customHeight="1" x14ac:dyDescent="0.4"/>
    <row r="220" ht="12" customHeight="1" x14ac:dyDescent="0.4"/>
    <row r="221" ht="12" customHeight="1" x14ac:dyDescent="0.4"/>
    <row r="222" ht="12" customHeight="1" x14ac:dyDescent="0.4"/>
    <row r="223" ht="12" customHeight="1" x14ac:dyDescent="0.4"/>
    <row r="224" ht="12" customHeight="1" x14ac:dyDescent="0.4"/>
    <row r="225" ht="12" customHeight="1" x14ac:dyDescent="0.4"/>
    <row r="226" ht="12" customHeight="1" x14ac:dyDescent="0.4"/>
    <row r="227" ht="12" customHeight="1" x14ac:dyDescent="0.4"/>
    <row r="228" ht="12" customHeight="1" x14ac:dyDescent="0.4"/>
    <row r="229" ht="12" customHeight="1" x14ac:dyDescent="0.4"/>
    <row r="230" ht="12" customHeight="1" x14ac:dyDescent="0.4"/>
    <row r="231" ht="12" customHeight="1" x14ac:dyDescent="0.4"/>
    <row r="232" ht="12" customHeight="1" x14ac:dyDescent="0.4"/>
    <row r="233" ht="12" customHeight="1" x14ac:dyDescent="0.4"/>
    <row r="234" ht="12" customHeight="1" x14ac:dyDescent="0.4"/>
    <row r="235" ht="12" customHeight="1" x14ac:dyDescent="0.4"/>
    <row r="236" ht="12" customHeight="1" x14ac:dyDescent="0.4"/>
    <row r="237" ht="12" customHeight="1" x14ac:dyDescent="0.4"/>
    <row r="238" ht="12" customHeight="1" x14ac:dyDescent="0.4"/>
    <row r="239" ht="12" customHeight="1" x14ac:dyDescent="0.4"/>
    <row r="240" ht="12" customHeight="1" x14ac:dyDescent="0.4"/>
    <row r="241" ht="12" customHeight="1" x14ac:dyDescent="0.4"/>
    <row r="242" ht="12" customHeight="1" x14ac:dyDescent="0.4"/>
    <row r="243" ht="12" customHeight="1" x14ac:dyDescent="0.4"/>
    <row r="244" ht="12" customHeight="1" x14ac:dyDescent="0.4"/>
    <row r="245" ht="12" customHeight="1" x14ac:dyDescent="0.4"/>
    <row r="246" ht="12" customHeight="1" x14ac:dyDescent="0.4"/>
    <row r="247" ht="12" customHeight="1" x14ac:dyDescent="0.4"/>
    <row r="248" ht="12" customHeight="1" x14ac:dyDescent="0.4"/>
    <row r="249" ht="12" customHeight="1" x14ac:dyDescent="0.4"/>
    <row r="250" ht="12" customHeight="1" x14ac:dyDescent="0.4"/>
    <row r="251" ht="12" customHeight="1" x14ac:dyDescent="0.4"/>
    <row r="252" ht="12" customHeight="1" x14ac:dyDescent="0.4"/>
    <row r="253" ht="12" customHeight="1" x14ac:dyDescent="0.4"/>
    <row r="254" ht="12" customHeight="1" x14ac:dyDescent="0.4"/>
    <row r="255" ht="12" customHeight="1" x14ac:dyDescent="0.4"/>
    <row r="256" ht="12" customHeight="1" x14ac:dyDescent="0.4"/>
    <row r="257" ht="12" customHeight="1" x14ac:dyDescent="0.4"/>
    <row r="258" ht="12" customHeight="1" x14ac:dyDescent="0.4"/>
    <row r="259" ht="12" customHeight="1" x14ac:dyDescent="0.4"/>
    <row r="260" ht="12" customHeight="1" x14ac:dyDescent="0.4"/>
    <row r="261" ht="12" customHeight="1" x14ac:dyDescent="0.4"/>
    <row r="262" ht="12" customHeight="1" x14ac:dyDescent="0.4"/>
    <row r="263" ht="12" customHeight="1" x14ac:dyDescent="0.4"/>
    <row r="264" ht="12" customHeight="1" x14ac:dyDescent="0.4"/>
    <row r="265" ht="12" customHeight="1" x14ac:dyDescent="0.4"/>
    <row r="266" ht="12" customHeight="1" x14ac:dyDescent="0.4"/>
    <row r="267" ht="12" customHeight="1" x14ac:dyDescent="0.4"/>
    <row r="268" ht="12" customHeight="1" x14ac:dyDescent="0.4"/>
    <row r="269" ht="12" customHeight="1" x14ac:dyDescent="0.4"/>
    <row r="270" ht="12" customHeight="1" x14ac:dyDescent="0.4"/>
    <row r="271" ht="12" customHeight="1" x14ac:dyDescent="0.4"/>
    <row r="272" ht="12" customHeight="1" x14ac:dyDescent="0.4"/>
    <row r="273" ht="12" customHeight="1" x14ac:dyDescent="0.4"/>
    <row r="274" ht="12" customHeight="1" x14ac:dyDescent="0.4"/>
    <row r="275" ht="12" customHeight="1" x14ac:dyDescent="0.4"/>
    <row r="276" ht="12" customHeight="1" x14ac:dyDescent="0.4"/>
    <row r="277" ht="12" customHeight="1" x14ac:dyDescent="0.4"/>
    <row r="278" ht="12" customHeight="1" x14ac:dyDescent="0.4"/>
    <row r="279" ht="12" customHeight="1" x14ac:dyDescent="0.4"/>
    <row r="280" ht="12" customHeight="1" x14ac:dyDescent="0.4"/>
    <row r="281" ht="12" customHeight="1" x14ac:dyDescent="0.4"/>
    <row r="282" ht="12" customHeight="1" x14ac:dyDescent="0.4"/>
    <row r="283" ht="12" customHeight="1" x14ac:dyDescent="0.4"/>
    <row r="284" ht="12" customHeight="1" x14ac:dyDescent="0.4"/>
    <row r="285" ht="12" customHeight="1" x14ac:dyDescent="0.4"/>
    <row r="286" ht="12" customHeight="1" x14ac:dyDescent="0.4"/>
    <row r="287" ht="12" customHeight="1" x14ac:dyDescent="0.4"/>
    <row r="288" ht="12" customHeight="1" x14ac:dyDescent="0.4"/>
    <row r="289" ht="12" customHeight="1" x14ac:dyDescent="0.4"/>
    <row r="290" ht="12" customHeight="1" x14ac:dyDescent="0.4"/>
    <row r="291" ht="12" customHeight="1" x14ac:dyDescent="0.4"/>
    <row r="292" ht="12" customHeight="1" x14ac:dyDescent="0.4"/>
    <row r="293" ht="12" customHeight="1" x14ac:dyDescent="0.4"/>
    <row r="294" ht="12" customHeight="1" x14ac:dyDescent="0.4"/>
    <row r="295" ht="12" customHeight="1" x14ac:dyDescent="0.4"/>
    <row r="296" ht="12" customHeight="1" x14ac:dyDescent="0.4"/>
    <row r="297" ht="12" customHeight="1" x14ac:dyDescent="0.4"/>
    <row r="298" ht="12" customHeight="1" x14ac:dyDescent="0.4"/>
    <row r="299" ht="12" customHeight="1" x14ac:dyDescent="0.4"/>
    <row r="300" ht="12" customHeight="1" x14ac:dyDescent="0.4"/>
    <row r="301" ht="12" customHeight="1" x14ac:dyDescent="0.4"/>
    <row r="302" ht="12" customHeight="1" x14ac:dyDescent="0.4"/>
    <row r="303" ht="12" customHeight="1" x14ac:dyDescent="0.4"/>
    <row r="304" ht="12" customHeight="1" x14ac:dyDescent="0.4"/>
    <row r="305" ht="12" customHeight="1" x14ac:dyDescent="0.4"/>
    <row r="306" ht="12" customHeight="1" x14ac:dyDescent="0.4"/>
    <row r="307" ht="12" customHeight="1" x14ac:dyDescent="0.4"/>
    <row r="308" ht="12" customHeight="1" x14ac:dyDescent="0.4"/>
    <row r="309" ht="12" customHeight="1" x14ac:dyDescent="0.4"/>
    <row r="310" ht="12" customHeight="1" x14ac:dyDescent="0.4"/>
    <row r="311" ht="12" customHeight="1" x14ac:dyDescent="0.4"/>
    <row r="312" ht="12" customHeight="1" x14ac:dyDescent="0.4"/>
    <row r="313" ht="12" customHeight="1" x14ac:dyDescent="0.4"/>
    <row r="314" ht="12" customHeight="1" x14ac:dyDescent="0.4"/>
    <row r="315" ht="12" customHeight="1" x14ac:dyDescent="0.4"/>
    <row r="316" ht="12" customHeight="1" x14ac:dyDescent="0.4"/>
    <row r="317" ht="12" customHeight="1" x14ac:dyDescent="0.4"/>
    <row r="318" ht="12" customHeight="1" x14ac:dyDescent="0.4"/>
    <row r="319" ht="12" customHeight="1" x14ac:dyDescent="0.4"/>
    <row r="320" ht="12" customHeight="1" x14ac:dyDescent="0.4"/>
    <row r="321" ht="12" customHeight="1" x14ac:dyDescent="0.4"/>
    <row r="322" ht="12" customHeight="1" x14ac:dyDescent="0.4"/>
    <row r="323" ht="12" customHeight="1" x14ac:dyDescent="0.4"/>
    <row r="324" ht="12" customHeight="1" x14ac:dyDescent="0.4"/>
    <row r="325" ht="12" customHeight="1" x14ac:dyDescent="0.4"/>
    <row r="326" ht="12" customHeight="1" x14ac:dyDescent="0.4"/>
    <row r="327" ht="12" customHeight="1" x14ac:dyDescent="0.4"/>
    <row r="328" ht="12" customHeight="1" x14ac:dyDescent="0.4"/>
    <row r="329" ht="12" customHeight="1" x14ac:dyDescent="0.4"/>
    <row r="330" ht="12" customHeight="1" x14ac:dyDescent="0.4"/>
    <row r="331" ht="12" customHeight="1" x14ac:dyDescent="0.4"/>
    <row r="332" ht="12" customHeight="1" x14ac:dyDescent="0.4"/>
    <row r="333" ht="12" customHeight="1" x14ac:dyDescent="0.4"/>
    <row r="334" ht="12" customHeight="1" x14ac:dyDescent="0.4"/>
    <row r="335" ht="12" customHeight="1" x14ac:dyDescent="0.4"/>
    <row r="336" ht="12" customHeight="1" x14ac:dyDescent="0.4"/>
    <row r="337" ht="12" customHeight="1" x14ac:dyDescent="0.4"/>
    <row r="338" ht="12" customHeight="1" x14ac:dyDescent="0.4"/>
    <row r="339" ht="12" customHeight="1" x14ac:dyDescent="0.4"/>
    <row r="340" ht="12" customHeight="1" x14ac:dyDescent="0.4"/>
    <row r="341" ht="12" customHeight="1" x14ac:dyDescent="0.4"/>
    <row r="342" ht="12" customHeight="1" x14ac:dyDescent="0.4"/>
    <row r="343" ht="12" customHeight="1" x14ac:dyDescent="0.4"/>
    <row r="344" ht="12" customHeight="1" x14ac:dyDescent="0.4"/>
    <row r="345" ht="12" customHeight="1" x14ac:dyDescent="0.4"/>
    <row r="346" ht="12" customHeight="1" x14ac:dyDescent="0.4"/>
    <row r="347" ht="12" customHeight="1" x14ac:dyDescent="0.4"/>
    <row r="348" ht="12" customHeight="1" x14ac:dyDescent="0.4"/>
    <row r="349" ht="12" customHeight="1" x14ac:dyDescent="0.4"/>
    <row r="350" ht="12" customHeight="1" x14ac:dyDescent="0.4"/>
    <row r="351" ht="12" customHeight="1" x14ac:dyDescent="0.4"/>
    <row r="352" ht="12" customHeight="1" x14ac:dyDescent="0.4"/>
    <row r="353" ht="12" customHeight="1" x14ac:dyDescent="0.4"/>
    <row r="354" ht="12" customHeight="1" x14ac:dyDescent="0.4"/>
    <row r="355" ht="12" customHeight="1" x14ac:dyDescent="0.4"/>
    <row r="356" ht="12" customHeight="1" x14ac:dyDescent="0.4"/>
    <row r="357" ht="12" customHeight="1" x14ac:dyDescent="0.4"/>
    <row r="358" ht="12" customHeight="1" x14ac:dyDescent="0.4"/>
    <row r="359" ht="12" customHeight="1" x14ac:dyDescent="0.4"/>
    <row r="360" ht="12" customHeight="1" x14ac:dyDescent="0.4"/>
    <row r="361" ht="12" customHeight="1" x14ac:dyDescent="0.4"/>
    <row r="362" ht="12" customHeight="1" x14ac:dyDescent="0.4"/>
    <row r="363" ht="12" customHeight="1" x14ac:dyDescent="0.4"/>
    <row r="364" ht="12" customHeight="1" x14ac:dyDescent="0.4"/>
    <row r="365" ht="12" customHeight="1" x14ac:dyDescent="0.4"/>
    <row r="366" ht="12" customHeight="1" x14ac:dyDescent="0.4"/>
    <row r="367" ht="12" customHeight="1" x14ac:dyDescent="0.4"/>
    <row r="368" ht="12" customHeight="1" x14ac:dyDescent="0.4"/>
    <row r="369" ht="12" customHeight="1" x14ac:dyDescent="0.4"/>
    <row r="370" ht="12" customHeight="1" x14ac:dyDescent="0.4"/>
    <row r="371" ht="12" customHeight="1" x14ac:dyDescent="0.4"/>
    <row r="372" ht="12" customHeight="1" x14ac:dyDescent="0.4"/>
    <row r="373" ht="12" customHeight="1" x14ac:dyDescent="0.4"/>
    <row r="374" ht="12" customHeight="1" x14ac:dyDescent="0.4"/>
    <row r="375" ht="12" customHeight="1" x14ac:dyDescent="0.4"/>
    <row r="376" ht="12" customHeight="1" x14ac:dyDescent="0.4"/>
    <row r="377" ht="12" customHeight="1" x14ac:dyDescent="0.4"/>
    <row r="378" ht="12" customHeight="1" x14ac:dyDescent="0.4"/>
    <row r="379" ht="12" customHeight="1" x14ac:dyDescent="0.4"/>
    <row r="380" ht="12" customHeight="1" x14ac:dyDescent="0.4"/>
    <row r="381" ht="12" customHeight="1" x14ac:dyDescent="0.4"/>
    <row r="382" ht="12" customHeight="1" x14ac:dyDescent="0.4"/>
    <row r="383" ht="12" customHeight="1" x14ac:dyDescent="0.4"/>
    <row r="384" ht="12" customHeight="1" x14ac:dyDescent="0.4"/>
    <row r="385" ht="12" customHeight="1" x14ac:dyDescent="0.4"/>
    <row r="386" ht="12" customHeight="1" x14ac:dyDescent="0.4"/>
    <row r="387" ht="12" customHeight="1" x14ac:dyDescent="0.4"/>
    <row r="388" ht="12" customHeight="1" x14ac:dyDescent="0.4"/>
    <row r="389" ht="12" customHeight="1" x14ac:dyDescent="0.4"/>
    <row r="390" ht="12" customHeight="1" x14ac:dyDescent="0.4"/>
    <row r="391" ht="12" customHeight="1" x14ac:dyDescent="0.4"/>
    <row r="392" ht="12" customHeight="1" x14ac:dyDescent="0.4"/>
    <row r="393" ht="12" customHeight="1" x14ac:dyDescent="0.4"/>
    <row r="394" ht="12" customHeight="1" x14ac:dyDescent="0.4"/>
    <row r="395" ht="12" customHeight="1" x14ac:dyDescent="0.4"/>
    <row r="396" ht="12" customHeight="1" x14ac:dyDescent="0.4"/>
    <row r="397" ht="12" customHeight="1" x14ac:dyDescent="0.4"/>
    <row r="398" ht="12" customHeight="1" x14ac:dyDescent="0.4"/>
    <row r="399" ht="12" customHeight="1" x14ac:dyDescent="0.4"/>
    <row r="400" ht="12" customHeight="1" x14ac:dyDescent="0.4"/>
    <row r="401" ht="12" customHeight="1" x14ac:dyDescent="0.4"/>
    <row r="402" ht="12" customHeight="1" x14ac:dyDescent="0.4"/>
    <row r="403" ht="12" customHeight="1" x14ac:dyDescent="0.4"/>
    <row r="404" ht="12" customHeight="1" x14ac:dyDescent="0.4"/>
    <row r="405" ht="12" customHeight="1" x14ac:dyDescent="0.4"/>
    <row r="406" ht="12" customHeight="1" x14ac:dyDescent="0.4"/>
    <row r="407" ht="12" customHeight="1" x14ac:dyDescent="0.4"/>
    <row r="408" ht="12" customHeight="1" x14ac:dyDescent="0.4"/>
    <row r="409" ht="12" customHeight="1" x14ac:dyDescent="0.4"/>
    <row r="410" ht="12" customHeight="1" x14ac:dyDescent="0.4"/>
    <row r="411" ht="12" customHeight="1" x14ac:dyDescent="0.4"/>
    <row r="412" ht="12" customHeight="1" x14ac:dyDescent="0.4"/>
    <row r="413" ht="12" customHeight="1" x14ac:dyDescent="0.4"/>
    <row r="414" ht="12" customHeight="1" x14ac:dyDescent="0.4"/>
    <row r="415" ht="12" customHeight="1" x14ac:dyDescent="0.4"/>
    <row r="416" ht="12" customHeight="1" x14ac:dyDescent="0.4"/>
    <row r="417" ht="12" customHeight="1" x14ac:dyDescent="0.4"/>
    <row r="418" ht="12" customHeight="1" x14ac:dyDescent="0.4"/>
    <row r="419" ht="12" customHeight="1" x14ac:dyDescent="0.4"/>
    <row r="420" ht="12" customHeight="1" x14ac:dyDescent="0.4"/>
    <row r="421" ht="12" customHeight="1" x14ac:dyDescent="0.4"/>
    <row r="422" ht="12" customHeight="1" x14ac:dyDescent="0.4"/>
    <row r="423" ht="12" customHeight="1" x14ac:dyDescent="0.4"/>
    <row r="424" ht="12" customHeight="1" x14ac:dyDescent="0.4"/>
    <row r="425" ht="12" customHeight="1" x14ac:dyDescent="0.4"/>
    <row r="426" ht="12" customHeight="1" x14ac:dyDescent="0.4"/>
    <row r="427" ht="12" customHeight="1" x14ac:dyDescent="0.4"/>
    <row r="428" ht="12" customHeight="1" x14ac:dyDescent="0.4"/>
    <row r="429" ht="12" customHeight="1" x14ac:dyDescent="0.4"/>
    <row r="430" ht="12" customHeight="1" x14ac:dyDescent="0.4"/>
    <row r="431" ht="12" customHeight="1" x14ac:dyDescent="0.4"/>
    <row r="432" ht="12" customHeight="1" x14ac:dyDescent="0.4"/>
    <row r="433" ht="12" customHeight="1" x14ac:dyDescent="0.4"/>
    <row r="434" ht="12" customHeight="1" x14ac:dyDescent="0.4"/>
    <row r="435" ht="12" customHeight="1" x14ac:dyDescent="0.4"/>
    <row r="436" ht="12" customHeight="1" x14ac:dyDescent="0.4"/>
    <row r="437" ht="12" customHeight="1" x14ac:dyDescent="0.4"/>
    <row r="438" ht="12" customHeight="1" x14ac:dyDescent="0.4"/>
    <row r="439" ht="12" customHeight="1" x14ac:dyDescent="0.4"/>
    <row r="440" ht="12" customHeight="1" x14ac:dyDescent="0.4"/>
    <row r="441" ht="12" customHeight="1" x14ac:dyDescent="0.4"/>
    <row r="442" ht="12" customHeight="1" x14ac:dyDescent="0.4"/>
    <row r="443" ht="12" customHeight="1" x14ac:dyDescent="0.4"/>
    <row r="444" ht="12" customHeight="1" x14ac:dyDescent="0.4"/>
    <row r="445" ht="12" customHeight="1" x14ac:dyDescent="0.4"/>
    <row r="446" ht="12" customHeight="1" x14ac:dyDescent="0.4"/>
    <row r="447" ht="12" customHeight="1" x14ac:dyDescent="0.4"/>
    <row r="448" ht="12" customHeight="1" x14ac:dyDescent="0.4"/>
    <row r="449" ht="12" customHeight="1" x14ac:dyDescent="0.4"/>
    <row r="450" ht="12" customHeight="1" x14ac:dyDescent="0.4"/>
    <row r="451" ht="12" customHeight="1" x14ac:dyDescent="0.4"/>
    <row r="452" ht="12" customHeight="1" x14ac:dyDescent="0.4"/>
    <row r="453" ht="12" customHeight="1" x14ac:dyDescent="0.4"/>
    <row r="454" ht="12" customHeight="1" x14ac:dyDescent="0.4"/>
    <row r="455" ht="12" customHeight="1" x14ac:dyDescent="0.4"/>
    <row r="456" ht="12" customHeight="1" x14ac:dyDescent="0.4"/>
    <row r="457" ht="12" customHeight="1" x14ac:dyDescent="0.4"/>
    <row r="458" ht="12" customHeight="1" x14ac:dyDescent="0.4"/>
    <row r="459" ht="12" customHeight="1" x14ac:dyDescent="0.4"/>
    <row r="460" ht="12" customHeight="1" x14ac:dyDescent="0.4"/>
    <row r="461" ht="12" customHeight="1" x14ac:dyDescent="0.4"/>
    <row r="462" ht="12" customHeight="1" x14ac:dyDescent="0.4"/>
    <row r="463" ht="12" customHeight="1" x14ac:dyDescent="0.4"/>
    <row r="464" ht="12" customHeight="1" x14ac:dyDescent="0.4"/>
    <row r="465" ht="12" customHeight="1" x14ac:dyDescent="0.4"/>
    <row r="466" ht="12" customHeight="1" x14ac:dyDescent="0.4"/>
    <row r="467" ht="12" customHeight="1" x14ac:dyDescent="0.4"/>
    <row r="468" ht="12" customHeight="1" x14ac:dyDescent="0.4"/>
    <row r="469" ht="12" customHeight="1" x14ac:dyDescent="0.4"/>
    <row r="470" ht="12" customHeight="1" x14ac:dyDescent="0.4"/>
    <row r="471" ht="12" customHeight="1" x14ac:dyDescent="0.4"/>
    <row r="472" ht="12" customHeight="1" x14ac:dyDescent="0.4"/>
    <row r="473" ht="12" customHeight="1" x14ac:dyDescent="0.4"/>
    <row r="474" ht="12" customHeight="1" x14ac:dyDescent="0.4"/>
    <row r="475" ht="12" customHeight="1" x14ac:dyDescent="0.4"/>
    <row r="476" ht="12" customHeight="1" x14ac:dyDescent="0.4"/>
    <row r="477" ht="12" customHeight="1" x14ac:dyDescent="0.4"/>
    <row r="478" ht="12" customHeight="1" x14ac:dyDescent="0.4"/>
    <row r="479" ht="12" customHeight="1" x14ac:dyDescent="0.4"/>
    <row r="480" ht="12" customHeight="1" x14ac:dyDescent="0.4"/>
    <row r="481" ht="12" customHeight="1" x14ac:dyDescent="0.4"/>
    <row r="482" ht="12" customHeight="1" x14ac:dyDescent="0.4"/>
    <row r="483" ht="12" customHeight="1" x14ac:dyDescent="0.4"/>
    <row r="484" ht="12" customHeight="1" x14ac:dyDescent="0.4"/>
    <row r="485" ht="12" customHeight="1" x14ac:dyDescent="0.4"/>
    <row r="486" ht="12" customHeight="1" x14ac:dyDescent="0.4"/>
    <row r="487" ht="12" customHeight="1" x14ac:dyDescent="0.4"/>
    <row r="488" ht="12" customHeight="1" x14ac:dyDescent="0.4"/>
    <row r="489" ht="12" customHeight="1" x14ac:dyDescent="0.4"/>
    <row r="490" ht="12" customHeight="1" x14ac:dyDescent="0.4"/>
    <row r="491" ht="12" customHeight="1" x14ac:dyDescent="0.4"/>
    <row r="492" ht="12" customHeight="1" x14ac:dyDescent="0.4"/>
    <row r="493" ht="12" customHeight="1" x14ac:dyDescent="0.4"/>
    <row r="494" ht="12" customHeight="1" x14ac:dyDescent="0.4"/>
    <row r="495" ht="12" customHeight="1" x14ac:dyDescent="0.4"/>
    <row r="496" ht="12" customHeight="1" x14ac:dyDescent="0.4"/>
    <row r="497" ht="12" customHeight="1" x14ac:dyDescent="0.4"/>
    <row r="498" ht="12" customHeight="1" x14ac:dyDescent="0.4"/>
    <row r="499" ht="12" customHeight="1" x14ac:dyDescent="0.4"/>
    <row r="500" ht="12" customHeight="1" x14ac:dyDescent="0.4"/>
    <row r="501" ht="12" customHeight="1" x14ac:dyDescent="0.4"/>
    <row r="502" ht="12" customHeight="1" x14ac:dyDescent="0.4"/>
    <row r="503" ht="12" customHeight="1" x14ac:dyDescent="0.4"/>
    <row r="504" ht="12" customHeight="1" x14ac:dyDescent="0.4"/>
    <row r="505" ht="12" customHeight="1" x14ac:dyDescent="0.4"/>
    <row r="506" ht="12" customHeight="1" x14ac:dyDescent="0.4"/>
    <row r="507" ht="12" customHeight="1" x14ac:dyDescent="0.4"/>
    <row r="508" ht="12" customHeight="1" x14ac:dyDescent="0.4"/>
    <row r="509" ht="12" customHeight="1" x14ac:dyDescent="0.4"/>
    <row r="510" ht="12" customHeight="1" x14ac:dyDescent="0.4"/>
    <row r="511" ht="12" customHeight="1" x14ac:dyDescent="0.4"/>
    <row r="512" ht="12" customHeight="1" x14ac:dyDescent="0.4"/>
    <row r="513" ht="12" customHeight="1" x14ac:dyDescent="0.4"/>
    <row r="514" ht="12" customHeight="1" x14ac:dyDescent="0.4"/>
    <row r="515" ht="12" customHeight="1" x14ac:dyDescent="0.4"/>
    <row r="516" ht="12" customHeight="1" x14ac:dyDescent="0.4"/>
    <row r="517" ht="12" customHeight="1" x14ac:dyDescent="0.4"/>
    <row r="518" ht="12" customHeight="1" x14ac:dyDescent="0.4"/>
    <row r="519" ht="12" customHeight="1" x14ac:dyDescent="0.4"/>
    <row r="520" ht="12" customHeight="1" x14ac:dyDescent="0.4"/>
    <row r="521" ht="12" customHeight="1" x14ac:dyDescent="0.4"/>
    <row r="522" ht="12" customHeight="1" x14ac:dyDescent="0.4"/>
    <row r="523" ht="12" customHeight="1" x14ac:dyDescent="0.4"/>
    <row r="524" ht="12" customHeight="1" x14ac:dyDescent="0.4"/>
    <row r="525" ht="12" customHeight="1" x14ac:dyDescent="0.4"/>
    <row r="526" ht="12" customHeight="1" x14ac:dyDescent="0.4"/>
    <row r="527" ht="12" customHeight="1" x14ac:dyDescent="0.4"/>
    <row r="528" ht="12" customHeight="1" x14ac:dyDescent="0.4"/>
    <row r="529" ht="12" customHeight="1" x14ac:dyDescent="0.4"/>
    <row r="530" ht="12" customHeight="1" x14ac:dyDescent="0.4"/>
    <row r="531" ht="12" customHeight="1" x14ac:dyDescent="0.4"/>
    <row r="532" ht="12" customHeight="1" x14ac:dyDescent="0.4"/>
    <row r="533" ht="12" customHeight="1" x14ac:dyDescent="0.4"/>
    <row r="534" ht="12" customHeight="1" x14ac:dyDescent="0.4"/>
    <row r="535" ht="12" customHeight="1" x14ac:dyDescent="0.4"/>
    <row r="536" ht="12" customHeight="1" x14ac:dyDescent="0.4"/>
    <row r="537" ht="12" customHeight="1" x14ac:dyDescent="0.4"/>
    <row r="538" ht="12" customHeight="1" x14ac:dyDescent="0.4"/>
    <row r="539" ht="12" customHeight="1" x14ac:dyDescent="0.4"/>
    <row r="540" ht="12" customHeight="1" x14ac:dyDescent="0.4"/>
    <row r="541" ht="12" customHeight="1" x14ac:dyDescent="0.4"/>
    <row r="542" ht="12" customHeight="1" x14ac:dyDescent="0.4"/>
    <row r="543" ht="12" customHeight="1" x14ac:dyDescent="0.4"/>
    <row r="544" ht="12" customHeight="1" x14ac:dyDescent="0.4"/>
    <row r="545" ht="12" customHeight="1" x14ac:dyDescent="0.4"/>
    <row r="546" ht="12" customHeight="1" x14ac:dyDescent="0.4"/>
    <row r="547" ht="12" customHeight="1" x14ac:dyDescent="0.4"/>
    <row r="548" ht="12" customHeight="1" x14ac:dyDescent="0.4"/>
    <row r="549" ht="12" customHeight="1" x14ac:dyDescent="0.4"/>
    <row r="550" ht="12" customHeight="1" x14ac:dyDescent="0.4"/>
    <row r="551" ht="12" customHeight="1" x14ac:dyDescent="0.4"/>
    <row r="552" ht="12" customHeight="1" x14ac:dyDescent="0.4"/>
    <row r="553" ht="12" customHeight="1" x14ac:dyDescent="0.4"/>
    <row r="554" ht="12" customHeight="1" x14ac:dyDescent="0.4"/>
    <row r="555" ht="12" customHeight="1" x14ac:dyDescent="0.4"/>
    <row r="556" ht="12" customHeight="1" x14ac:dyDescent="0.4"/>
    <row r="557" ht="12" customHeight="1" x14ac:dyDescent="0.4"/>
    <row r="558" ht="12" customHeight="1" x14ac:dyDescent="0.4"/>
    <row r="559" ht="12" customHeight="1" x14ac:dyDescent="0.4"/>
    <row r="560" ht="12" customHeight="1" x14ac:dyDescent="0.4"/>
    <row r="561" ht="12" customHeight="1" x14ac:dyDescent="0.4"/>
    <row r="562" ht="12" customHeight="1" x14ac:dyDescent="0.4"/>
    <row r="563" ht="12" customHeight="1" x14ac:dyDescent="0.4"/>
    <row r="564" ht="12" customHeight="1" x14ac:dyDescent="0.4"/>
    <row r="565" ht="12" customHeight="1" x14ac:dyDescent="0.4"/>
    <row r="566" ht="12" customHeight="1" x14ac:dyDescent="0.4"/>
    <row r="567" ht="12" customHeight="1" x14ac:dyDescent="0.4"/>
    <row r="568" ht="12" customHeight="1" x14ac:dyDescent="0.4"/>
    <row r="569" ht="12" customHeight="1" x14ac:dyDescent="0.4"/>
    <row r="570" ht="12" customHeight="1" x14ac:dyDescent="0.4"/>
    <row r="571" ht="12" customHeight="1" x14ac:dyDescent="0.4"/>
    <row r="572" ht="12" customHeight="1" x14ac:dyDescent="0.4"/>
    <row r="573" ht="12" customHeight="1" x14ac:dyDescent="0.4"/>
    <row r="574" ht="12" customHeight="1" x14ac:dyDescent="0.4"/>
    <row r="575" ht="12" customHeight="1" x14ac:dyDescent="0.4"/>
    <row r="576" ht="12" customHeight="1" x14ac:dyDescent="0.4"/>
    <row r="577" ht="12" customHeight="1" x14ac:dyDescent="0.4"/>
    <row r="578" ht="12" customHeight="1" x14ac:dyDescent="0.4"/>
    <row r="579" ht="12" customHeight="1" x14ac:dyDescent="0.4"/>
    <row r="580" ht="12" customHeight="1" x14ac:dyDescent="0.4"/>
    <row r="581" ht="12" customHeight="1" x14ac:dyDescent="0.4"/>
    <row r="582" ht="12" customHeight="1" x14ac:dyDescent="0.4"/>
    <row r="583" ht="12" customHeight="1" x14ac:dyDescent="0.4"/>
    <row r="584" ht="12" customHeight="1" x14ac:dyDescent="0.4"/>
    <row r="585" ht="12" customHeight="1" x14ac:dyDescent="0.4"/>
    <row r="586" ht="12" customHeight="1" x14ac:dyDescent="0.4"/>
    <row r="587" ht="12" customHeight="1" x14ac:dyDescent="0.4"/>
    <row r="588" ht="12" customHeight="1" x14ac:dyDescent="0.4"/>
    <row r="589" ht="12" customHeight="1" x14ac:dyDescent="0.4"/>
    <row r="590" ht="12" customHeight="1" x14ac:dyDescent="0.4"/>
    <row r="591" ht="12" customHeight="1" x14ac:dyDescent="0.4"/>
    <row r="592" ht="12" customHeight="1" x14ac:dyDescent="0.4"/>
    <row r="593" ht="12" customHeight="1" x14ac:dyDescent="0.4"/>
    <row r="594" ht="12" customHeight="1" x14ac:dyDescent="0.4"/>
    <row r="595" ht="12" customHeight="1" x14ac:dyDescent="0.4"/>
    <row r="596" ht="12" customHeight="1" x14ac:dyDescent="0.4"/>
    <row r="597" ht="12" customHeight="1" x14ac:dyDescent="0.4"/>
    <row r="598" ht="12" customHeight="1" x14ac:dyDescent="0.4"/>
    <row r="599" ht="12" customHeight="1" x14ac:dyDescent="0.4"/>
    <row r="600" ht="12" customHeight="1" x14ac:dyDescent="0.4"/>
    <row r="601" ht="12" customHeight="1" x14ac:dyDescent="0.4"/>
    <row r="602" ht="12" customHeight="1" x14ac:dyDescent="0.4"/>
    <row r="603" ht="12" customHeight="1" x14ac:dyDescent="0.4"/>
    <row r="604" ht="12" customHeight="1" x14ac:dyDescent="0.4"/>
    <row r="605" ht="12" customHeight="1" x14ac:dyDescent="0.4"/>
    <row r="606" ht="12" customHeight="1" x14ac:dyDescent="0.4"/>
    <row r="607" ht="12" customHeight="1" x14ac:dyDescent="0.4"/>
    <row r="608" ht="12" customHeight="1" x14ac:dyDescent="0.4"/>
    <row r="609" ht="12" customHeight="1" x14ac:dyDescent="0.4"/>
    <row r="610" ht="12" customHeight="1" x14ac:dyDescent="0.4"/>
    <row r="611" ht="12" customHeight="1" x14ac:dyDescent="0.4"/>
    <row r="612" ht="12" customHeight="1" x14ac:dyDescent="0.4"/>
    <row r="613" ht="12" customHeight="1" x14ac:dyDescent="0.4"/>
    <row r="614" ht="12" customHeight="1" x14ac:dyDescent="0.4"/>
    <row r="615" ht="12" customHeight="1" x14ac:dyDescent="0.4"/>
    <row r="616" ht="12" customHeight="1" x14ac:dyDescent="0.4"/>
    <row r="617" ht="12" customHeight="1" x14ac:dyDescent="0.4"/>
    <row r="618" ht="12" customHeight="1" x14ac:dyDescent="0.4"/>
    <row r="619" ht="12" customHeight="1" x14ac:dyDescent="0.4"/>
    <row r="620" ht="12" customHeight="1" x14ac:dyDescent="0.4"/>
    <row r="621" ht="12" customHeight="1" x14ac:dyDescent="0.4"/>
    <row r="622" ht="12" customHeight="1" x14ac:dyDescent="0.4"/>
    <row r="623" ht="12" customHeight="1" x14ac:dyDescent="0.4"/>
    <row r="624" ht="12" customHeight="1" x14ac:dyDescent="0.4"/>
    <row r="625" ht="12" customHeight="1" x14ac:dyDescent="0.4"/>
    <row r="626" ht="12" customHeight="1" x14ac:dyDescent="0.4"/>
    <row r="627" ht="12" customHeight="1" x14ac:dyDescent="0.4"/>
    <row r="628" ht="12" customHeight="1" x14ac:dyDescent="0.4"/>
    <row r="629" ht="12" customHeight="1" x14ac:dyDescent="0.4"/>
    <row r="630" ht="12" customHeight="1" x14ac:dyDescent="0.4"/>
    <row r="631" ht="12" customHeight="1" x14ac:dyDescent="0.4"/>
    <row r="632" ht="12" customHeight="1" x14ac:dyDescent="0.4"/>
    <row r="633" ht="12" customHeight="1" x14ac:dyDescent="0.4"/>
    <row r="634" ht="12" customHeight="1" x14ac:dyDescent="0.4"/>
    <row r="635" ht="12" customHeight="1" x14ac:dyDescent="0.4"/>
    <row r="636" ht="12" customHeight="1" x14ac:dyDescent="0.4"/>
    <row r="637" ht="12" customHeight="1" x14ac:dyDescent="0.4"/>
    <row r="638" ht="12" customHeight="1" x14ac:dyDescent="0.4"/>
    <row r="639" ht="12" customHeight="1" x14ac:dyDescent="0.4"/>
    <row r="640" ht="12" customHeight="1" x14ac:dyDescent="0.4"/>
    <row r="641" ht="12" customHeight="1" x14ac:dyDescent="0.4"/>
    <row r="642" ht="12" customHeight="1" x14ac:dyDescent="0.4"/>
    <row r="643" ht="12" customHeight="1" x14ac:dyDescent="0.4"/>
    <row r="644" ht="12" customHeight="1" x14ac:dyDescent="0.4"/>
    <row r="645" ht="12" customHeight="1" x14ac:dyDescent="0.4"/>
    <row r="646" ht="12" customHeight="1" x14ac:dyDescent="0.4"/>
    <row r="647" ht="12" customHeight="1" x14ac:dyDescent="0.4"/>
    <row r="648" ht="12" customHeight="1" x14ac:dyDescent="0.4"/>
    <row r="649" ht="12" customHeight="1" x14ac:dyDescent="0.4"/>
    <row r="650" ht="12" customHeight="1" x14ac:dyDescent="0.4"/>
    <row r="651" ht="12" customHeight="1" x14ac:dyDescent="0.4"/>
    <row r="652" ht="12" customHeight="1" x14ac:dyDescent="0.4"/>
    <row r="653" ht="12" customHeight="1" x14ac:dyDescent="0.4"/>
    <row r="654" ht="12" customHeight="1" x14ac:dyDescent="0.4"/>
    <row r="655" ht="12" customHeight="1" x14ac:dyDescent="0.4"/>
    <row r="656" ht="12" customHeight="1" x14ac:dyDescent="0.4"/>
    <row r="657" ht="12" customHeight="1" x14ac:dyDescent="0.4"/>
    <row r="658" ht="12" customHeight="1" x14ac:dyDescent="0.4"/>
    <row r="659" ht="12" customHeight="1" x14ac:dyDescent="0.4"/>
    <row r="660" ht="12" customHeight="1" x14ac:dyDescent="0.4"/>
    <row r="661" ht="12" customHeight="1" x14ac:dyDescent="0.4"/>
    <row r="662" ht="12" customHeight="1" x14ac:dyDescent="0.4"/>
    <row r="663" ht="12" customHeight="1" x14ac:dyDescent="0.4"/>
    <row r="664" ht="12" customHeight="1" x14ac:dyDescent="0.4"/>
    <row r="665" ht="12" customHeight="1" x14ac:dyDescent="0.4"/>
    <row r="666" ht="12" customHeight="1" x14ac:dyDescent="0.4"/>
    <row r="667" ht="12" customHeight="1" x14ac:dyDescent="0.4"/>
    <row r="668" ht="12" customHeight="1" x14ac:dyDescent="0.4"/>
    <row r="669" ht="12" customHeight="1" x14ac:dyDescent="0.4"/>
    <row r="670" ht="12" customHeight="1" x14ac:dyDescent="0.4"/>
    <row r="671" ht="12" customHeight="1" x14ac:dyDescent="0.4"/>
    <row r="672" ht="12" customHeight="1" x14ac:dyDescent="0.4"/>
    <row r="673" ht="12" customHeight="1" x14ac:dyDescent="0.4"/>
    <row r="674" ht="12" customHeight="1" x14ac:dyDescent="0.4"/>
    <row r="675" ht="12" customHeight="1" x14ac:dyDescent="0.4"/>
    <row r="676" ht="12" customHeight="1" x14ac:dyDescent="0.4"/>
    <row r="677" ht="12" customHeight="1" x14ac:dyDescent="0.4"/>
    <row r="678" ht="12" customHeight="1" x14ac:dyDescent="0.4"/>
    <row r="679" ht="12" customHeight="1" x14ac:dyDescent="0.4"/>
    <row r="680" ht="12" customHeight="1" x14ac:dyDescent="0.4"/>
    <row r="681" ht="12" customHeight="1" x14ac:dyDescent="0.4"/>
    <row r="682" ht="12" customHeight="1" x14ac:dyDescent="0.4"/>
    <row r="683" ht="12" customHeight="1" x14ac:dyDescent="0.4"/>
    <row r="684" ht="12" customHeight="1" x14ac:dyDescent="0.4"/>
    <row r="685" ht="12" customHeight="1" x14ac:dyDescent="0.4"/>
    <row r="686" ht="12" customHeight="1" x14ac:dyDescent="0.4"/>
    <row r="687" ht="12" customHeight="1" x14ac:dyDescent="0.4"/>
    <row r="688" ht="12" customHeight="1" x14ac:dyDescent="0.4"/>
    <row r="689" ht="12" customHeight="1" x14ac:dyDescent="0.4"/>
    <row r="690" ht="12" customHeight="1" x14ac:dyDescent="0.4"/>
    <row r="691" ht="12" customHeight="1" x14ac:dyDescent="0.4"/>
    <row r="692" ht="12" customHeight="1" x14ac:dyDescent="0.4"/>
    <row r="693" ht="12" customHeight="1" x14ac:dyDescent="0.4"/>
    <row r="694" ht="12" customHeight="1" x14ac:dyDescent="0.4"/>
    <row r="695" ht="12" customHeight="1" x14ac:dyDescent="0.4"/>
    <row r="696" ht="12" customHeight="1" x14ac:dyDescent="0.4"/>
    <row r="697" ht="12" customHeight="1" x14ac:dyDescent="0.4"/>
    <row r="698" ht="12" customHeight="1" x14ac:dyDescent="0.4"/>
    <row r="699" ht="12" customHeight="1" x14ac:dyDescent="0.4"/>
    <row r="700" ht="12" customHeight="1" x14ac:dyDescent="0.4"/>
    <row r="701" ht="12" customHeight="1" x14ac:dyDescent="0.4"/>
    <row r="702" ht="12" customHeight="1" x14ac:dyDescent="0.4"/>
    <row r="703" ht="12" customHeight="1" x14ac:dyDescent="0.4"/>
    <row r="704" ht="12" customHeight="1" x14ac:dyDescent="0.4"/>
    <row r="705" ht="12" customHeight="1" x14ac:dyDescent="0.4"/>
    <row r="706" ht="12" customHeight="1" x14ac:dyDescent="0.4"/>
    <row r="707" ht="12" customHeight="1" x14ac:dyDescent="0.4"/>
    <row r="708" ht="12" customHeight="1" x14ac:dyDescent="0.4"/>
    <row r="709" ht="12" customHeight="1" x14ac:dyDescent="0.4"/>
    <row r="710" ht="12" customHeight="1" x14ac:dyDescent="0.4"/>
    <row r="711" ht="12" customHeight="1" x14ac:dyDescent="0.4"/>
    <row r="712" ht="12" customHeight="1" x14ac:dyDescent="0.4"/>
    <row r="713" ht="12" customHeight="1" x14ac:dyDescent="0.4"/>
    <row r="714" ht="12" customHeight="1" x14ac:dyDescent="0.4"/>
    <row r="715" ht="12" customHeight="1" x14ac:dyDescent="0.4"/>
    <row r="716" ht="12" customHeight="1" x14ac:dyDescent="0.4"/>
    <row r="717" ht="12" customHeight="1" x14ac:dyDescent="0.4"/>
    <row r="718" ht="12" customHeight="1" x14ac:dyDescent="0.4"/>
    <row r="719" ht="12" customHeight="1" x14ac:dyDescent="0.4"/>
    <row r="720" ht="12" customHeight="1" x14ac:dyDescent="0.4"/>
    <row r="721" ht="12" customHeight="1" x14ac:dyDescent="0.4"/>
    <row r="722" ht="12" customHeight="1" x14ac:dyDescent="0.4"/>
    <row r="723" ht="12" customHeight="1" x14ac:dyDescent="0.4"/>
    <row r="724" ht="12" customHeight="1" x14ac:dyDescent="0.4"/>
    <row r="725" ht="12" customHeight="1" x14ac:dyDescent="0.4"/>
    <row r="726" ht="12" customHeight="1" x14ac:dyDescent="0.4"/>
    <row r="727" ht="12" customHeight="1" x14ac:dyDescent="0.4"/>
    <row r="728" ht="12" customHeight="1" x14ac:dyDescent="0.4"/>
    <row r="729" ht="12" customHeight="1" x14ac:dyDescent="0.4"/>
    <row r="730" ht="12" customHeight="1" x14ac:dyDescent="0.4"/>
    <row r="731" ht="12" customHeight="1" x14ac:dyDescent="0.4"/>
    <row r="732" ht="12" customHeight="1" x14ac:dyDescent="0.4"/>
    <row r="733" ht="12" customHeight="1" x14ac:dyDescent="0.4"/>
    <row r="734" ht="12" customHeight="1" x14ac:dyDescent="0.4"/>
    <row r="735" ht="12" customHeight="1" x14ac:dyDescent="0.4"/>
    <row r="736" ht="12" customHeight="1" x14ac:dyDescent="0.4"/>
    <row r="737" ht="12" customHeight="1" x14ac:dyDescent="0.4"/>
    <row r="738" ht="12" customHeight="1" x14ac:dyDescent="0.4"/>
    <row r="739" ht="12" customHeight="1" x14ac:dyDescent="0.4"/>
    <row r="740" ht="12" customHeight="1" x14ac:dyDescent="0.4"/>
    <row r="741" ht="12" customHeight="1" x14ac:dyDescent="0.4"/>
    <row r="742" ht="12" customHeight="1" x14ac:dyDescent="0.4"/>
    <row r="743" ht="12" customHeight="1" x14ac:dyDescent="0.4"/>
    <row r="744" ht="12" customHeight="1" x14ac:dyDescent="0.4"/>
    <row r="745" ht="12" customHeight="1" x14ac:dyDescent="0.4"/>
    <row r="746" ht="12" customHeight="1" x14ac:dyDescent="0.4"/>
    <row r="747" ht="12" customHeight="1" x14ac:dyDescent="0.4"/>
    <row r="748" ht="12" customHeight="1" x14ac:dyDescent="0.4"/>
    <row r="749" ht="12" customHeight="1" x14ac:dyDescent="0.4"/>
    <row r="750" ht="12" customHeight="1" x14ac:dyDescent="0.4"/>
    <row r="751" ht="12" customHeight="1" x14ac:dyDescent="0.4"/>
    <row r="752" ht="12" customHeight="1" x14ac:dyDescent="0.4"/>
    <row r="753" ht="12" customHeight="1" x14ac:dyDescent="0.4"/>
    <row r="754" ht="12" customHeight="1" x14ac:dyDescent="0.4"/>
    <row r="755" ht="12" customHeight="1" x14ac:dyDescent="0.4"/>
    <row r="756" ht="12" customHeight="1" x14ac:dyDescent="0.4"/>
    <row r="757" ht="12" customHeight="1" x14ac:dyDescent="0.4"/>
    <row r="758" ht="12" customHeight="1" x14ac:dyDescent="0.4"/>
    <row r="759" ht="12" customHeight="1" x14ac:dyDescent="0.4"/>
    <row r="760" ht="12" customHeight="1" x14ac:dyDescent="0.4"/>
    <row r="761" ht="12" customHeight="1" x14ac:dyDescent="0.4"/>
    <row r="762" ht="12" customHeight="1" x14ac:dyDescent="0.4"/>
    <row r="763" ht="12" customHeight="1" x14ac:dyDescent="0.4"/>
    <row r="764" ht="12" customHeight="1" x14ac:dyDescent="0.4"/>
    <row r="765" ht="12" customHeight="1" x14ac:dyDescent="0.4"/>
    <row r="766" ht="12" customHeight="1" x14ac:dyDescent="0.4"/>
    <row r="767" ht="12" customHeight="1" x14ac:dyDescent="0.4"/>
    <row r="768" ht="12" customHeight="1" x14ac:dyDescent="0.4"/>
    <row r="769" ht="12" customHeight="1" x14ac:dyDescent="0.4"/>
    <row r="770" ht="12" customHeight="1" x14ac:dyDescent="0.4"/>
    <row r="771" ht="12" customHeight="1" x14ac:dyDescent="0.4"/>
    <row r="772" ht="12" customHeight="1" x14ac:dyDescent="0.4"/>
    <row r="773" ht="12" customHeight="1" x14ac:dyDescent="0.4"/>
    <row r="774" ht="12" customHeight="1" x14ac:dyDescent="0.4"/>
    <row r="775" ht="12" customHeight="1" x14ac:dyDescent="0.4"/>
    <row r="776" ht="12" customHeight="1" x14ac:dyDescent="0.4"/>
    <row r="777" ht="12" customHeight="1" x14ac:dyDescent="0.4"/>
    <row r="778" ht="12" customHeight="1" x14ac:dyDescent="0.4"/>
    <row r="779" ht="12" customHeight="1" x14ac:dyDescent="0.4"/>
    <row r="780" ht="12" customHeight="1" x14ac:dyDescent="0.4"/>
    <row r="781" ht="12" customHeight="1" x14ac:dyDescent="0.4"/>
    <row r="782" ht="12" customHeight="1" x14ac:dyDescent="0.4"/>
    <row r="783" ht="12" customHeight="1" x14ac:dyDescent="0.4"/>
    <row r="784" ht="12" customHeight="1" x14ac:dyDescent="0.4"/>
    <row r="785" ht="12" customHeight="1" x14ac:dyDescent="0.4"/>
    <row r="786" ht="12" customHeight="1" x14ac:dyDescent="0.4"/>
    <row r="787" ht="12" customHeight="1" x14ac:dyDescent="0.4"/>
    <row r="788" ht="12" customHeight="1" x14ac:dyDescent="0.4"/>
    <row r="789" ht="12" customHeight="1" x14ac:dyDescent="0.4"/>
    <row r="790" ht="12" customHeight="1" x14ac:dyDescent="0.4"/>
    <row r="791" ht="12" customHeight="1" x14ac:dyDescent="0.4"/>
    <row r="792" ht="12" customHeight="1" x14ac:dyDescent="0.4"/>
    <row r="793" ht="12" customHeight="1" x14ac:dyDescent="0.4"/>
    <row r="794" ht="12" customHeight="1" x14ac:dyDescent="0.4"/>
    <row r="795" ht="12" customHeight="1" x14ac:dyDescent="0.4"/>
    <row r="796" ht="12" customHeight="1" x14ac:dyDescent="0.4"/>
    <row r="797" ht="12" customHeight="1" x14ac:dyDescent="0.4"/>
    <row r="798" ht="12" customHeight="1" x14ac:dyDescent="0.4"/>
    <row r="799" ht="12" customHeight="1" x14ac:dyDescent="0.4"/>
    <row r="800" ht="12" customHeight="1" x14ac:dyDescent="0.4"/>
    <row r="801" ht="12" customHeight="1" x14ac:dyDescent="0.4"/>
    <row r="802" ht="12" customHeight="1" x14ac:dyDescent="0.4"/>
    <row r="803" ht="12" customHeight="1" x14ac:dyDescent="0.4"/>
    <row r="804" ht="12" customHeight="1" x14ac:dyDescent="0.4"/>
    <row r="805" ht="12" customHeight="1" x14ac:dyDescent="0.4"/>
    <row r="806" ht="12" customHeight="1" x14ac:dyDescent="0.4"/>
    <row r="807" ht="12" customHeight="1" x14ac:dyDescent="0.4"/>
    <row r="808" ht="12" customHeight="1" x14ac:dyDescent="0.4"/>
    <row r="809" ht="12" customHeight="1" x14ac:dyDescent="0.4"/>
    <row r="810" ht="12" customHeight="1" x14ac:dyDescent="0.4"/>
    <row r="811" ht="12" customHeight="1" x14ac:dyDescent="0.4"/>
    <row r="812" ht="12" customHeight="1" x14ac:dyDescent="0.4"/>
    <row r="813" ht="12" customHeight="1" x14ac:dyDescent="0.4"/>
    <row r="814" ht="12" customHeight="1" x14ac:dyDescent="0.4"/>
    <row r="815" ht="12" customHeight="1" x14ac:dyDescent="0.4"/>
    <row r="816" ht="12" customHeight="1" x14ac:dyDescent="0.4"/>
    <row r="817" ht="12" customHeight="1" x14ac:dyDescent="0.4"/>
    <row r="818" ht="12" customHeight="1" x14ac:dyDescent="0.4"/>
    <row r="819" ht="12" customHeight="1" x14ac:dyDescent="0.4"/>
    <row r="820" ht="12" customHeight="1" x14ac:dyDescent="0.4"/>
    <row r="821" ht="12" customHeight="1" x14ac:dyDescent="0.4"/>
    <row r="822" ht="12" customHeight="1" x14ac:dyDescent="0.4"/>
    <row r="823" ht="12" customHeight="1" x14ac:dyDescent="0.4"/>
    <row r="824" ht="12" customHeight="1" x14ac:dyDescent="0.4"/>
    <row r="825" ht="12" customHeight="1" x14ac:dyDescent="0.4"/>
    <row r="826" ht="12" customHeight="1" x14ac:dyDescent="0.4"/>
    <row r="827" ht="12" customHeight="1" x14ac:dyDescent="0.4"/>
    <row r="828" ht="12" customHeight="1" x14ac:dyDescent="0.4"/>
    <row r="829" ht="12" customHeight="1" x14ac:dyDescent="0.4"/>
    <row r="830" ht="12" customHeight="1" x14ac:dyDescent="0.4"/>
    <row r="831" ht="12" customHeight="1" x14ac:dyDescent="0.4"/>
    <row r="832" ht="12" customHeight="1" x14ac:dyDescent="0.4"/>
    <row r="833" ht="12" customHeight="1" x14ac:dyDescent="0.4"/>
    <row r="834" ht="12" customHeight="1" x14ac:dyDescent="0.4"/>
    <row r="835" ht="12" customHeight="1" x14ac:dyDescent="0.4"/>
    <row r="836" ht="12" customHeight="1" x14ac:dyDescent="0.4"/>
    <row r="837" ht="12" customHeight="1" x14ac:dyDescent="0.4"/>
    <row r="838" ht="12" customHeight="1" x14ac:dyDescent="0.4"/>
    <row r="839" ht="12" customHeight="1" x14ac:dyDescent="0.4"/>
    <row r="840" ht="12" customHeight="1" x14ac:dyDescent="0.4"/>
    <row r="841" ht="12" customHeight="1" x14ac:dyDescent="0.4"/>
    <row r="842" ht="12" customHeight="1" x14ac:dyDescent="0.4"/>
    <row r="843" ht="12" customHeight="1" x14ac:dyDescent="0.4"/>
    <row r="844" ht="12" customHeight="1" x14ac:dyDescent="0.4"/>
    <row r="845" ht="12" customHeight="1" x14ac:dyDescent="0.4"/>
    <row r="846" ht="12" customHeight="1" x14ac:dyDescent="0.4"/>
    <row r="847" ht="12" customHeight="1" x14ac:dyDescent="0.4"/>
    <row r="848" ht="12" customHeight="1" x14ac:dyDescent="0.4"/>
    <row r="849" ht="12" customHeight="1" x14ac:dyDescent="0.4"/>
    <row r="850" ht="12" customHeight="1" x14ac:dyDescent="0.4"/>
    <row r="851" ht="12" customHeight="1" x14ac:dyDescent="0.4"/>
    <row r="852" ht="12" customHeight="1" x14ac:dyDescent="0.4"/>
    <row r="853" ht="12" customHeight="1" x14ac:dyDescent="0.4"/>
    <row r="854" ht="12" customHeight="1" x14ac:dyDescent="0.4"/>
    <row r="855" ht="12" customHeight="1" x14ac:dyDescent="0.4"/>
    <row r="856" ht="12" customHeight="1" x14ac:dyDescent="0.4"/>
    <row r="857" ht="12" customHeight="1" x14ac:dyDescent="0.4"/>
    <row r="858" ht="12" customHeight="1" x14ac:dyDescent="0.4"/>
    <row r="859" ht="12" customHeight="1" x14ac:dyDescent="0.4"/>
    <row r="860" ht="12" customHeight="1" x14ac:dyDescent="0.4"/>
    <row r="861" ht="12" customHeight="1" x14ac:dyDescent="0.4"/>
    <row r="862" ht="12" customHeight="1" x14ac:dyDescent="0.4"/>
    <row r="863" ht="12" customHeight="1" x14ac:dyDescent="0.4"/>
    <row r="864" ht="12" customHeight="1" x14ac:dyDescent="0.4"/>
    <row r="865" ht="12" customHeight="1" x14ac:dyDescent="0.4"/>
    <row r="866" ht="12" customHeight="1" x14ac:dyDescent="0.4"/>
    <row r="867" ht="12" customHeight="1" x14ac:dyDescent="0.4"/>
    <row r="868" ht="12" customHeight="1" x14ac:dyDescent="0.4"/>
    <row r="869" ht="12" customHeight="1" x14ac:dyDescent="0.4"/>
    <row r="870" ht="12" customHeight="1" x14ac:dyDescent="0.4"/>
    <row r="871" ht="12" customHeight="1" x14ac:dyDescent="0.4"/>
    <row r="872" ht="12" customHeight="1" x14ac:dyDescent="0.4"/>
    <row r="873" ht="12" customHeight="1" x14ac:dyDescent="0.4"/>
    <row r="874" ht="12" customHeight="1" x14ac:dyDescent="0.4"/>
    <row r="875" ht="12" customHeight="1" x14ac:dyDescent="0.4"/>
    <row r="876" ht="12" customHeight="1" x14ac:dyDescent="0.4"/>
    <row r="877" ht="12" customHeight="1" x14ac:dyDescent="0.4"/>
    <row r="878" ht="12" customHeight="1" x14ac:dyDescent="0.4"/>
    <row r="879" ht="12" customHeight="1" x14ac:dyDescent="0.4"/>
    <row r="880" ht="12" customHeight="1" x14ac:dyDescent="0.4"/>
    <row r="881" ht="12" customHeight="1" x14ac:dyDescent="0.4"/>
    <row r="882" ht="12" customHeight="1" x14ac:dyDescent="0.4"/>
    <row r="883" ht="12" customHeight="1" x14ac:dyDescent="0.4"/>
    <row r="884" ht="12" customHeight="1" x14ac:dyDescent="0.4"/>
    <row r="885" ht="12" customHeight="1" x14ac:dyDescent="0.4"/>
    <row r="886" ht="12" customHeight="1" x14ac:dyDescent="0.4"/>
    <row r="887" ht="12" customHeight="1" x14ac:dyDescent="0.4"/>
    <row r="888" ht="12" customHeight="1" x14ac:dyDescent="0.4"/>
    <row r="889" ht="12" customHeight="1" x14ac:dyDescent="0.4"/>
    <row r="890" ht="12" customHeight="1" x14ac:dyDescent="0.4"/>
    <row r="891" ht="12" customHeight="1" x14ac:dyDescent="0.4"/>
    <row r="892" ht="12" customHeight="1" x14ac:dyDescent="0.4"/>
    <row r="893" ht="12" customHeight="1" x14ac:dyDescent="0.4"/>
    <row r="894" ht="12" customHeight="1" x14ac:dyDescent="0.4"/>
    <row r="895" ht="12" customHeight="1" x14ac:dyDescent="0.4"/>
    <row r="896" ht="12" customHeight="1" x14ac:dyDescent="0.4"/>
    <row r="897" ht="12" customHeight="1" x14ac:dyDescent="0.4"/>
    <row r="898" ht="12" customHeight="1" x14ac:dyDescent="0.4"/>
    <row r="899" ht="12" customHeight="1" x14ac:dyDescent="0.4"/>
    <row r="900" ht="12" customHeight="1" x14ac:dyDescent="0.4"/>
    <row r="901" ht="12" customHeight="1" x14ac:dyDescent="0.4"/>
    <row r="902" ht="12" customHeight="1" x14ac:dyDescent="0.4"/>
    <row r="903" ht="12" customHeight="1" x14ac:dyDescent="0.4"/>
    <row r="904" ht="12" customHeight="1" x14ac:dyDescent="0.4"/>
    <row r="905" ht="12" customHeight="1" x14ac:dyDescent="0.4"/>
    <row r="906" ht="12" customHeight="1" x14ac:dyDescent="0.4"/>
    <row r="907" ht="12" customHeight="1" x14ac:dyDescent="0.4"/>
    <row r="908" ht="12" customHeight="1" x14ac:dyDescent="0.4"/>
    <row r="909" ht="12" customHeight="1" x14ac:dyDescent="0.4"/>
    <row r="910" ht="12" customHeight="1" x14ac:dyDescent="0.4"/>
    <row r="911" ht="12" customHeight="1" x14ac:dyDescent="0.4"/>
    <row r="912" ht="12" customHeight="1" x14ac:dyDescent="0.4"/>
    <row r="913" ht="12" customHeight="1" x14ac:dyDescent="0.4"/>
    <row r="914" ht="12" customHeight="1" x14ac:dyDescent="0.4"/>
    <row r="915" ht="12" customHeight="1" x14ac:dyDescent="0.4"/>
    <row r="916" ht="12" customHeight="1" x14ac:dyDescent="0.4"/>
    <row r="917" ht="12" customHeight="1" x14ac:dyDescent="0.4"/>
    <row r="918" ht="12" customHeight="1" x14ac:dyDescent="0.4"/>
    <row r="919" ht="12" customHeight="1" x14ac:dyDescent="0.4"/>
    <row r="920" ht="12" customHeight="1" x14ac:dyDescent="0.4"/>
    <row r="921" ht="12" customHeight="1" x14ac:dyDescent="0.4"/>
    <row r="922" ht="12" customHeight="1" x14ac:dyDescent="0.4"/>
    <row r="923" ht="12" customHeight="1" x14ac:dyDescent="0.4"/>
    <row r="924" ht="12" customHeight="1" x14ac:dyDescent="0.4"/>
    <row r="925" ht="12" customHeight="1" x14ac:dyDescent="0.4"/>
    <row r="926" ht="12" customHeight="1" x14ac:dyDescent="0.4"/>
    <row r="927" ht="12" customHeight="1" x14ac:dyDescent="0.4"/>
    <row r="928" ht="12" customHeight="1" x14ac:dyDescent="0.4"/>
    <row r="929" ht="12" customHeight="1" x14ac:dyDescent="0.4"/>
    <row r="930" ht="12" customHeight="1" x14ac:dyDescent="0.4"/>
    <row r="931" ht="12" customHeight="1" x14ac:dyDescent="0.4"/>
    <row r="932" ht="12" customHeight="1" x14ac:dyDescent="0.4"/>
    <row r="933" ht="12" customHeight="1" x14ac:dyDescent="0.4"/>
    <row r="934" ht="12" customHeight="1" x14ac:dyDescent="0.4"/>
    <row r="935" ht="12" customHeight="1" x14ac:dyDescent="0.4"/>
    <row r="936" ht="12" customHeight="1" x14ac:dyDescent="0.4"/>
    <row r="937" ht="12" customHeight="1" x14ac:dyDescent="0.4"/>
    <row r="938" ht="12" customHeight="1" x14ac:dyDescent="0.4"/>
    <row r="939" ht="12" customHeight="1" x14ac:dyDescent="0.4"/>
    <row r="940" ht="12" customHeight="1" x14ac:dyDescent="0.4"/>
    <row r="941" ht="12" customHeight="1" x14ac:dyDescent="0.4"/>
    <row r="942" ht="12" customHeight="1" x14ac:dyDescent="0.4"/>
    <row r="943" ht="12" customHeight="1" x14ac:dyDescent="0.4"/>
    <row r="944" ht="12" customHeight="1" x14ac:dyDescent="0.4"/>
    <row r="945" ht="12" customHeight="1" x14ac:dyDescent="0.4"/>
    <row r="946" ht="12" customHeight="1" x14ac:dyDescent="0.4"/>
    <row r="947" ht="12" customHeight="1" x14ac:dyDescent="0.4"/>
    <row r="948" ht="12" customHeight="1" x14ac:dyDescent="0.4"/>
    <row r="949" ht="12" customHeight="1" x14ac:dyDescent="0.4"/>
    <row r="950" ht="12" customHeight="1" x14ac:dyDescent="0.4"/>
    <row r="951" ht="12" customHeight="1" x14ac:dyDescent="0.4"/>
    <row r="952" ht="12" customHeight="1" x14ac:dyDescent="0.4"/>
    <row r="953" ht="12" customHeight="1" x14ac:dyDescent="0.4"/>
    <row r="954" ht="12" customHeight="1" x14ac:dyDescent="0.4"/>
    <row r="955" ht="12" customHeight="1" x14ac:dyDescent="0.4"/>
    <row r="956" ht="12" customHeight="1" x14ac:dyDescent="0.4"/>
    <row r="957" ht="12" customHeight="1" x14ac:dyDescent="0.4"/>
    <row r="958" ht="12" customHeight="1" x14ac:dyDescent="0.4"/>
    <row r="959" ht="12" customHeight="1" x14ac:dyDescent="0.4"/>
    <row r="960" ht="12" customHeight="1" x14ac:dyDescent="0.4"/>
    <row r="961" ht="12" customHeight="1" x14ac:dyDescent="0.4"/>
    <row r="962" ht="12" customHeight="1" x14ac:dyDescent="0.4"/>
    <row r="963" ht="12" customHeight="1" x14ac:dyDescent="0.4"/>
    <row r="964" ht="12" customHeight="1" x14ac:dyDescent="0.4"/>
    <row r="965" ht="12" customHeight="1" x14ac:dyDescent="0.4"/>
    <row r="966" ht="12" customHeight="1" x14ac:dyDescent="0.4"/>
    <row r="967" ht="12" customHeight="1" x14ac:dyDescent="0.4"/>
    <row r="968" ht="12" customHeight="1" x14ac:dyDescent="0.4"/>
    <row r="969" ht="12" customHeight="1" x14ac:dyDescent="0.4"/>
    <row r="970" ht="12" customHeight="1" x14ac:dyDescent="0.4"/>
    <row r="971" ht="12" customHeight="1" x14ac:dyDescent="0.4"/>
    <row r="972" ht="12" customHeight="1" x14ac:dyDescent="0.4"/>
    <row r="973" ht="12" customHeight="1" x14ac:dyDescent="0.4"/>
    <row r="974" ht="12" customHeight="1" x14ac:dyDescent="0.4"/>
    <row r="975" ht="12" customHeight="1" x14ac:dyDescent="0.4"/>
    <row r="976" ht="12" customHeight="1" x14ac:dyDescent="0.4"/>
    <row r="977" ht="12" customHeight="1" x14ac:dyDescent="0.4"/>
    <row r="978" ht="12" customHeight="1" x14ac:dyDescent="0.4"/>
    <row r="979" ht="12" customHeight="1" x14ac:dyDescent="0.4"/>
    <row r="980" ht="12" customHeight="1" x14ac:dyDescent="0.4"/>
    <row r="981" ht="12" customHeight="1" x14ac:dyDescent="0.4"/>
    <row r="982" ht="12" customHeight="1" x14ac:dyDescent="0.4"/>
    <row r="983" ht="12" customHeight="1" x14ac:dyDescent="0.4"/>
    <row r="984" ht="12" customHeight="1" x14ac:dyDescent="0.4"/>
    <row r="985" ht="12" customHeight="1" x14ac:dyDescent="0.4"/>
    <row r="986" ht="12" customHeight="1" x14ac:dyDescent="0.4"/>
    <row r="987" ht="12" customHeight="1" x14ac:dyDescent="0.4"/>
    <row r="988" ht="12" customHeight="1" x14ac:dyDescent="0.4"/>
    <row r="989" ht="12" customHeight="1" x14ac:dyDescent="0.4"/>
    <row r="990" ht="12" customHeight="1" x14ac:dyDescent="0.4"/>
    <row r="991" ht="12" customHeight="1" x14ac:dyDescent="0.4"/>
    <row r="992" ht="12" customHeight="1" x14ac:dyDescent="0.4"/>
    <row r="993" ht="12" customHeight="1" x14ac:dyDescent="0.4"/>
    <row r="994" ht="12" customHeight="1" x14ac:dyDescent="0.4"/>
    <row r="995" ht="12" customHeight="1" x14ac:dyDescent="0.4"/>
    <row r="996" ht="12" customHeight="1" x14ac:dyDescent="0.4"/>
    <row r="997" ht="12" customHeight="1" x14ac:dyDescent="0.4"/>
    <row r="998" ht="12" customHeight="1" x14ac:dyDescent="0.4"/>
    <row r="999" ht="12" customHeight="1" x14ac:dyDescent="0.4"/>
    <row r="1000" ht="12" customHeight="1" x14ac:dyDescent="0.4"/>
  </sheetData>
  <pageMargins left="0.7" right="0.7" top="0.75" bottom="0.75" header="0" footer="0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C000"/>
  </sheetPr>
  <dimension ref="A1:Z1000"/>
  <sheetViews>
    <sheetView workbookViewId="0"/>
  </sheetViews>
  <sheetFormatPr defaultColWidth="14.44140625" defaultRowHeight="15" customHeight="1" x14ac:dyDescent="0.4"/>
  <cols>
    <col min="1" max="26" width="8.71875" customWidth="1"/>
  </cols>
  <sheetData>
    <row r="1" spans="1:26" ht="12" customHeight="1" x14ac:dyDescent="0.75">
      <c r="A1" s="74" t="s">
        <v>87</v>
      </c>
      <c r="B1" s="74"/>
      <c r="C1" s="74"/>
      <c r="D1" s="74"/>
      <c r="E1" s="74"/>
      <c r="F1" s="74"/>
      <c r="G1" s="74" t="s">
        <v>88</v>
      </c>
      <c r="H1" s="74"/>
      <c r="I1" s="74"/>
      <c r="J1" s="74"/>
      <c r="K1" s="74"/>
      <c r="L1" s="74" t="s">
        <v>89</v>
      </c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</row>
    <row r="2" spans="1:26" ht="12" customHeight="1" x14ac:dyDescent="0.4"/>
    <row r="3" spans="1:26" ht="12" customHeight="1" x14ac:dyDescent="0.4"/>
    <row r="4" spans="1:26" ht="12" customHeight="1" x14ac:dyDescent="0.4"/>
    <row r="5" spans="1:26" ht="12" customHeight="1" x14ac:dyDescent="0.4"/>
    <row r="6" spans="1:26" ht="12" customHeight="1" x14ac:dyDescent="0.4"/>
    <row r="7" spans="1:26" ht="12" customHeight="1" x14ac:dyDescent="0.4"/>
    <row r="8" spans="1:26" ht="12" customHeight="1" x14ac:dyDescent="0.4"/>
    <row r="9" spans="1:26" ht="12" customHeight="1" x14ac:dyDescent="0.4"/>
    <row r="10" spans="1:26" ht="12" customHeight="1" x14ac:dyDescent="0.4"/>
    <row r="11" spans="1:26" ht="12" customHeight="1" x14ac:dyDescent="0.4"/>
    <row r="12" spans="1:26" ht="12" customHeight="1" x14ac:dyDescent="0.4"/>
    <row r="13" spans="1:26" ht="12" customHeight="1" x14ac:dyDescent="0.4"/>
    <row r="14" spans="1:26" ht="12" customHeight="1" x14ac:dyDescent="0.4"/>
    <row r="15" spans="1:26" ht="12" customHeight="1" x14ac:dyDescent="0.4"/>
    <row r="16" spans="1:26" ht="12" customHeight="1" x14ac:dyDescent="0.4"/>
    <row r="17" ht="12" customHeight="1" x14ac:dyDescent="0.4"/>
    <row r="18" ht="12" customHeight="1" x14ac:dyDescent="0.4"/>
    <row r="19" ht="12" customHeight="1" x14ac:dyDescent="0.4"/>
    <row r="20" ht="12" customHeight="1" x14ac:dyDescent="0.4"/>
    <row r="21" ht="12" customHeight="1" x14ac:dyDescent="0.4"/>
    <row r="22" ht="12" customHeight="1" x14ac:dyDescent="0.4"/>
    <row r="23" ht="12" customHeight="1" x14ac:dyDescent="0.4"/>
    <row r="24" ht="12" customHeight="1" x14ac:dyDescent="0.4"/>
    <row r="25" ht="12" customHeight="1" x14ac:dyDescent="0.4"/>
    <row r="26" ht="12" customHeight="1" x14ac:dyDescent="0.4"/>
    <row r="27" ht="12" customHeight="1" x14ac:dyDescent="0.4"/>
    <row r="28" ht="12" customHeight="1" x14ac:dyDescent="0.4"/>
    <row r="29" ht="12" customHeight="1" x14ac:dyDescent="0.4"/>
    <row r="30" ht="12" customHeight="1" x14ac:dyDescent="0.4"/>
    <row r="31" ht="12" customHeight="1" x14ac:dyDescent="0.4"/>
    <row r="32" ht="12" customHeight="1" x14ac:dyDescent="0.4"/>
    <row r="33" ht="12" customHeight="1" x14ac:dyDescent="0.4"/>
    <row r="34" ht="12" customHeight="1" x14ac:dyDescent="0.4"/>
    <row r="35" ht="12" customHeight="1" x14ac:dyDescent="0.4"/>
    <row r="36" ht="12" customHeight="1" x14ac:dyDescent="0.4"/>
    <row r="37" ht="12" customHeight="1" x14ac:dyDescent="0.4"/>
    <row r="38" ht="12" customHeight="1" x14ac:dyDescent="0.4"/>
    <row r="39" ht="12" customHeight="1" x14ac:dyDescent="0.4"/>
    <row r="40" ht="12" customHeight="1" x14ac:dyDescent="0.4"/>
    <row r="41" ht="12" customHeight="1" x14ac:dyDescent="0.4"/>
    <row r="42" ht="12" customHeight="1" x14ac:dyDescent="0.4"/>
    <row r="43" ht="12" customHeight="1" x14ac:dyDescent="0.4"/>
    <row r="44" ht="12" customHeight="1" x14ac:dyDescent="0.4"/>
    <row r="45" ht="12" customHeight="1" x14ac:dyDescent="0.4"/>
    <row r="46" ht="12" customHeight="1" x14ac:dyDescent="0.4"/>
    <row r="47" ht="12" customHeight="1" x14ac:dyDescent="0.4"/>
    <row r="48" ht="12" customHeight="1" x14ac:dyDescent="0.4"/>
    <row r="49" ht="12" customHeight="1" x14ac:dyDescent="0.4"/>
    <row r="50" ht="12" customHeight="1" x14ac:dyDescent="0.4"/>
    <row r="51" ht="12" customHeight="1" x14ac:dyDescent="0.4"/>
    <row r="52" ht="12" customHeight="1" x14ac:dyDescent="0.4"/>
    <row r="53" ht="12" customHeight="1" x14ac:dyDescent="0.4"/>
    <row r="54" ht="12" customHeight="1" x14ac:dyDescent="0.4"/>
    <row r="55" ht="12" customHeight="1" x14ac:dyDescent="0.4"/>
    <row r="56" ht="12" customHeight="1" x14ac:dyDescent="0.4"/>
    <row r="57" ht="12" customHeight="1" x14ac:dyDescent="0.4"/>
    <row r="58" ht="12" customHeight="1" x14ac:dyDescent="0.4"/>
    <row r="59" ht="12" customHeight="1" x14ac:dyDescent="0.4"/>
    <row r="60" ht="12" customHeight="1" x14ac:dyDescent="0.4"/>
    <row r="61" ht="12" customHeight="1" x14ac:dyDescent="0.4"/>
    <row r="62" ht="12" customHeight="1" x14ac:dyDescent="0.4"/>
    <row r="63" ht="12" customHeight="1" x14ac:dyDescent="0.4"/>
    <row r="64" ht="12" customHeight="1" x14ac:dyDescent="0.4"/>
    <row r="65" ht="12" customHeight="1" x14ac:dyDescent="0.4"/>
    <row r="66" ht="12" customHeight="1" x14ac:dyDescent="0.4"/>
    <row r="67" ht="12" customHeight="1" x14ac:dyDescent="0.4"/>
    <row r="68" ht="12" customHeight="1" x14ac:dyDescent="0.4"/>
    <row r="69" ht="12" customHeight="1" x14ac:dyDescent="0.4"/>
    <row r="70" ht="12" customHeight="1" x14ac:dyDescent="0.4"/>
    <row r="71" ht="12" customHeight="1" x14ac:dyDescent="0.4"/>
    <row r="72" ht="12" customHeight="1" x14ac:dyDescent="0.4"/>
    <row r="73" ht="12" customHeight="1" x14ac:dyDescent="0.4"/>
    <row r="74" ht="12" customHeight="1" x14ac:dyDescent="0.4"/>
    <row r="75" ht="12" customHeight="1" x14ac:dyDescent="0.4"/>
    <row r="76" ht="12" customHeight="1" x14ac:dyDescent="0.4"/>
    <row r="77" ht="12" customHeight="1" x14ac:dyDescent="0.4"/>
    <row r="78" ht="12" customHeight="1" x14ac:dyDescent="0.4"/>
    <row r="79" ht="12" customHeight="1" x14ac:dyDescent="0.4"/>
    <row r="80" ht="12" customHeight="1" x14ac:dyDescent="0.4"/>
    <row r="81" ht="12" customHeight="1" x14ac:dyDescent="0.4"/>
    <row r="82" ht="12" customHeight="1" x14ac:dyDescent="0.4"/>
    <row r="83" ht="12" customHeight="1" x14ac:dyDescent="0.4"/>
    <row r="84" ht="12" customHeight="1" x14ac:dyDescent="0.4"/>
    <row r="85" ht="12" customHeight="1" x14ac:dyDescent="0.4"/>
    <row r="86" ht="12" customHeight="1" x14ac:dyDescent="0.4"/>
    <row r="87" ht="12" customHeight="1" x14ac:dyDescent="0.4"/>
    <row r="88" ht="12" customHeight="1" x14ac:dyDescent="0.4"/>
    <row r="89" ht="12" customHeight="1" x14ac:dyDescent="0.4"/>
    <row r="90" ht="12" customHeight="1" x14ac:dyDescent="0.4"/>
    <row r="91" ht="12" customHeight="1" x14ac:dyDescent="0.4"/>
    <row r="92" ht="12" customHeight="1" x14ac:dyDescent="0.4"/>
    <row r="93" ht="12" customHeight="1" x14ac:dyDescent="0.4"/>
    <row r="94" ht="12" customHeight="1" x14ac:dyDescent="0.4"/>
    <row r="95" ht="12" customHeight="1" x14ac:dyDescent="0.4"/>
    <row r="96" ht="12" customHeight="1" x14ac:dyDescent="0.4"/>
    <row r="97" ht="12" customHeight="1" x14ac:dyDescent="0.4"/>
    <row r="98" ht="12" customHeight="1" x14ac:dyDescent="0.4"/>
    <row r="99" ht="12" customHeight="1" x14ac:dyDescent="0.4"/>
    <row r="100" ht="12" customHeight="1" x14ac:dyDescent="0.4"/>
    <row r="101" ht="12" customHeight="1" x14ac:dyDescent="0.4"/>
    <row r="102" ht="12" customHeight="1" x14ac:dyDescent="0.4"/>
    <row r="103" ht="12" customHeight="1" x14ac:dyDescent="0.4"/>
    <row r="104" ht="12" customHeight="1" x14ac:dyDescent="0.4"/>
    <row r="105" ht="12" customHeight="1" x14ac:dyDescent="0.4"/>
    <row r="106" ht="12" customHeight="1" x14ac:dyDescent="0.4"/>
    <row r="107" ht="12" customHeight="1" x14ac:dyDescent="0.4"/>
    <row r="108" ht="12" customHeight="1" x14ac:dyDescent="0.4"/>
    <row r="109" ht="12" customHeight="1" x14ac:dyDescent="0.4"/>
    <row r="110" ht="12" customHeight="1" x14ac:dyDescent="0.4"/>
    <row r="111" ht="12" customHeight="1" x14ac:dyDescent="0.4"/>
    <row r="112" ht="12" customHeight="1" x14ac:dyDescent="0.4"/>
    <row r="113" ht="12" customHeight="1" x14ac:dyDescent="0.4"/>
    <row r="114" ht="12" customHeight="1" x14ac:dyDescent="0.4"/>
    <row r="115" ht="12" customHeight="1" x14ac:dyDescent="0.4"/>
    <row r="116" ht="12" customHeight="1" x14ac:dyDescent="0.4"/>
    <row r="117" ht="12" customHeight="1" x14ac:dyDescent="0.4"/>
    <row r="118" ht="12" customHeight="1" x14ac:dyDescent="0.4"/>
    <row r="119" ht="12" customHeight="1" x14ac:dyDescent="0.4"/>
    <row r="120" ht="12" customHeight="1" x14ac:dyDescent="0.4"/>
    <row r="121" ht="12" customHeight="1" x14ac:dyDescent="0.4"/>
    <row r="122" ht="12" customHeight="1" x14ac:dyDescent="0.4"/>
    <row r="123" ht="12" customHeight="1" x14ac:dyDescent="0.4"/>
    <row r="124" ht="12" customHeight="1" x14ac:dyDescent="0.4"/>
    <row r="125" ht="12" customHeight="1" x14ac:dyDescent="0.4"/>
    <row r="126" ht="12" customHeight="1" x14ac:dyDescent="0.4"/>
    <row r="127" ht="12" customHeight="1" x14ac:dyDescent="0.4"/>
    <row r="128" ht="12" customHeight="1" x14ac:dyDescent="0.4"/>
    <row r="129" ht="12" customHeight="1" x14ac:dyDescent="0.4"/>
    <row r="130" ht="12" customHeight="1" x14ac:dyDescent="0.4"/>
    <row r="131" ht="12" customHeight="1" x14ac:dyDescent="0.4"/>
    <row r="132" ht="12" customHeight="1" x14ac:dyDescent="0.4"/>
    <row r="133" ht="12" customHeight="1" x14ac:dyDescent="0.4"/>
    <row r="134" ht="12" customHeight="1" x14ac:dyDescent="0.4"/>
    <row r="135" ht="12" customHeight="1" x14ac:dyDescent="0.4"/>
    <row r="136" ht="12" customHeight="1" x14ac:dyDescent="0.4"/>
    <row r="137" ht="12" customHeight="1" x14ac:dyDescent="0.4"/>
    <row r="138" ht="12" customHeight="1" x14ac:dyDescent="0.4"/>
    <row r="139" ht="12" customHeight="1" x14ac:dyDescent="0.4"/>
    <row r="140" ht="12" customHeight="1" x14ac:dyDescent="0.4"/>
    <row r="141" ht="12" customHeight="1" x14ac:dyDescent="0.4"/>
    <row r="142" ht="12" customHeight="1" x14ac:dyDescent="0.4"/>
    <row r="143" ht="12" customHeight="1" x14ac:dyDescent="0.4"/>
    <row r="144" ht="12" customHeight="1" x14ac:dyDescent="0.4"/>
    <row r="145" ht="12" customHeight="1" x14ac:dyDescent="0.4"/>
    <row r="146" ht="12" customHeight="1" x14ac:dyDescent="0.4"/>
    <row r="147" ht="12" customHeight="1" x14ac:dyDescent="0.4"/>
    <row r="148" ht="12" customHeight="1" x14ac:dyDescent="0.4"/>
    <row r="149" ht="12" customHeight="1" x14ac:dyDescent="0.4"/>
    <row r="150" ht="12" customHeight="1" x14ac:dyDescent="0.4"/>
    <row r="151" ht="12" customHeight="1" x14ac:dyDescent="0.4"/>
    <row r="152" ht="12" customHeight="1" x14ac:dyDescent="0.4"/>
    <row r="153" ht="12" customHeight="1" x14ac:dyDescent="0.4"/>
    <row r="154" ht="12" customHeight="1" x14ac:dyDescent="0.4"/>
    <row r="155" ht="12" customHeight="1" x14ac:dyDescent="0.4"/>
    <row r="156" ht="12" customHeight="1" x14ac:dyDescent="0.4"/>
    <row r="157" ht="12" customHeight="1" x14ac:dyDescent="0.4"/>
    <row r="158" ht="12" customHeight="1" x14ac:dyDescent="0.4"/>
    <row r="159" ht="12" customHeight="1" x14ac:dyDescent="0.4"/>
    <row r="160" ht="12" customHeight="1" x14ac:dyDescent="0.4"/>
    <row r="161" ht="12" customHeight="1" x14ac:dyDescent="0.4"/>
    <row r="162" ht="12" customHeight="1" x14ac:dyDescent="0.4"/>
    <row r="163" ht="12" customHeight="1" x14ac:dyDescent="0.4"/>
    <row r="164" ht="12" customHeight="1" x14ac:dyDescent="0.4"/>
    <row r="165" ht="12" customHeight="1" x14ac:dyDescent="0.4"/>
    <row r="166" ht="12" customHeight="1" x14ac:dyDescent="0.4"/>
    <row r="167" ht="12" customHeight="1" x14ac:dyDescent="0.4"/>
    <row r="168" ht="12" customHeight="1" x14ac:dyDescent="0.4"/>
    <row r="169" ht="12" customHeight="1" x14ac:dyDescent="0.4"/>
    <row r="170" ht="12" customHeight="1" x14ac:dyDescent="0.4"/>
    <row r="171" ht="12" customHeight="1" x14ac:dyDescent="0.4"/>
    <row r="172" ht="12" customHeight="1" x14ac:dyDescent="0.4"/>
    <row r="173" ht="12" customHeight="1" x14ac:dyDescent="0.4"/>
    <row r="174" ht="12" customHeight="1" x14ac:dyDescent="0.4"/>
    <row r="175" ht="12" customHeight="1" x14ac:dyDescent="0.4"/>
    <row r="176" ht="12" customHeight="1" x14ac:dyDescent="0.4"/>
    <row r="177" ht="12" customHeight="1" x14ac:dyDescent="0.4"/>
    <row r="178" ht="12" customHeight="1" x14ac:dyDescent="0.4"/>
    <row r="179" ht="12" customHeight="1" x14ac:dyDescent="0.4"/>
    <row r="180" ht="12" customHeight="1" x14ac:dyDescent="0.4"/>
    <row r="181" ht="12" customHeight="1" x14ac:dyDescent="0.4"/>
    <row r="182" ht="12" customHeight="1" x14ac:dyDescent="0.4"/>
    <row r="183" ht="12" customHeight="1" x14ac:dyDescent="0.4"/>
    <row r="184" ht="12" customHeight="1" x14ac:dyDescent="0.4"/>
    <row r="185" ht="12" customHeight="1" x14ac:dyDescent="0.4"/>
    <row r="186" ht="12" customHeight="1" x14ac:dyDescent="0.4"/>
    <row r="187" ht="12" customHeight="1" x14ac:dyDescent="0.4"/>
    <row r="188" ht="12" customHeight="1" x14ac:dyDescent="0.4"/>
    <row r="189" ht="12" customHeight="1" x14ac:dyDescent="0.4"/>
    <row r="190" ht="12" customHeight="1" x14ac:dyDescent="0.4"/>
    <row r="191" ht="12" customHeight="1" x14ac:dyDescent="0.4"/>
    <row r="192" ht="12" customHeight="1" x14ac:dyDescent="0.4"/>
    <row r="193" ht="12" customHeight="1" x14ac:dyDescent="0.4"/>
    <row r="194" ht="12" customHeight="1" x14ac:dyDescent="0.4"/>
    <row r="195" ht="12" customHeight="1" x14ac:dyDescent="0.4"/>
    <row r="196" ht="12" customHeight="1" x14ac:dyDescent="0.4"/>
    <row r="197" ht="12" customHeight="1" x14ac:dyDescent="0.4"/>
    <row r="198" ht="12" customHeight="1" x14ac:dyDescent="0.4"/>
    <row r="199" ht="12" customHeight="1" x14ac:dyDescent="0.4"/>
    <row r="200" ht="12" customHeight="1" x14ac:dyDescent="0.4"/>
    <row r="201" ht="12" customHeight="1" x14ac:dyDescent="0.4"/>
    <row r="202" ht="12" customHeight="1" x14ac:dyDescent="0.4"/>
    <row r="203" ht="12" customHeight="1" x14ac:dyDescent="0.4"/>
    <row r="204" ht="12" customHeight="1" x14ac:dyDescent="0.4"/>
    <row r="205" ht="12" customHeight="1" x14ac:dyDescent="0.4"/>
    <row r="206" ht="12" customHeight="1" x14ac:dyDescent="0.4"/>
    <row r="207" ht="12" customHeight="1" x14ac:dyDescent="0.4"/>
    <row r="208" ht="12" customHeight="1" x14ac:dyDescent="0.4"/>
    <row r="209" ht="12" customHeight="1" x14ac:dyDescent="0.4"/>
    <row r="210" ht="12" customHeight="1" x14ac:dyDescent="0.4"/>
    <row r="211" ht="12" customHeight="1" x14ac:dyDescent="0.4"/>
    <row r="212" ht="12" customHeight="1" x14ac:dyDescent="0.4"/>
    <row r="213" ht="12" customHeight="1" x14ac:dyDescent="0.4"/>
    <row r="214" ht="12" customHeight="1" x14ac:dyDescent="0.4"/>
    <row r="215" ht="12" customHeight="1" x14ac:dyDescent="0.4"/>
    <row r="216" ht="12" customHeight="1" x14ac:dyDescent="0.4"/>
    <row r="217" ht="12" customHeight="1" x14ac:dyDescent="0.4"/>
    <row r="218" ht="12" customHeight="1" x14ac:dyDescent="0.4"/>
    <row r="219" ht="12" customHeight="1" x14ac:dyDescent="0.4"/>
    <row r="220" ht="12" customHeight="1" x14ac:dyDescent="0.4"/>
    <row r="221" ht="12" customHeight="1" x14ac:dyDescent="0.4"/>
    <row r="222" ht="12" customHeight="1" x14ac:dyDescent="0.4"/>
    <row r="223" ht="12" customHeight="1" x14ac:dyDescent="0.4"/>
    <row r="224" ht="12" customHeight="1" x14ac:dyDescent="0.4"/>
    <row r="225" ht="12" customHeight="1" x14ac:dyDescent="0.4"/>
    <row r="226" ht="12" customHeight="1" x14ac:dyDescent="0.4"/>
    <row r="227" ht="12" customHeight="1" x14ac:dyDescent="0.4"/>
    <row r="228" ht="12" customHeight="1" x14ac:dyDescent="0.4"/>
    <row r="229" ht="12" customHeight="1" x14ac:dyDescent="0.4"/>
    <row r="230" ht="12" customHeight="1" x14ac:dyDescent="0.4"/>
    <row r="231" ht="12" customHeight="1" x14ac:dyDescent="0.4"/>
    <row r="232" ht="12" customHeight="1" x14ac:dyDescent="0.4"/>
    <row r="233" ht="12" customHeight="1" x14ac:dyDescent="0.4"/>
    <row r="234" ht="12" customHeight="1" x14ac:dyDescent="0.4"/>
    <row r="235" ht="12" customHeight="1" x14ac:dyDescent="0.4"/>
    <row r="236" ht="12" customHeight="1" x14ac:dyDescent="0.4"/>
    <row r="237" ht="12" customHeight="1" x14ac:dyDescent="0.4"/>
    <row r="238" ht="12" customHeight="1" x14ac:dyDescent="0.4"/>
    <row r="239" ht="12" customHeight="1" x14ac:dyDescent="0.4"/>
    <row r="240" ht="12" customHeight="1" x14ac:dyDescent="0.4"/>
    <row r="241" ht="12" customHeight="1" x14ac:dyDescent="0.4"/>
    <row r="242" ht="12" customHeight="1" x14ac:dyDescent="0.4"/>
    <row r="243" ht="12" customHeight="1" x14ac:dyDescent="0.4"/>
    <row r="244" ht="12" customHeight="1" x14ac:dyDescent="0.4"/>
    <row r="245" ht="12" customHeight="1" x14ac:dyDescent="0.4"/>
    <row r="246" ht="12" customHeight="1" x14ac:dyDescent="0.4"/>
    <row r="247" ht="12" customHeight="1" x14ac:dyDescent="0.4"/>
    <row r="248" ht="12" customHeight="1" x14ac:dyDescent="0.4"/>
    <row r="249" ht="12" customHeight="1" x14ac:dyDescent="0.4"/>
    <row r="250" ht="12" customHeight="1" x14ac:dyDescent="0.4"/>
    <row r="251" ht="12" customHeight="1" x14ac:dyDescent="0.4"/>
    <row r="252" ht="12" customHeight="1" x14ac:dyDescent="0.4"/>
    <row r="253" ht="12" customHeight="1" x14ac:dyDescent="0.4"/>
    <row r="254" ht="12" customHeight="1" x14ac:dyDescent="0.4"/>
    <row r="255" ht="12" customHeight="1" x14ac:dyDescent="0.4"/>
    <row r="256" ht="12" customHeight="1" x14ac:dyDescent="0.4"/>
    <row r="257" ht="12" customHeight="1" x14ac:dyDescent="0.4"/>
    <row r="258" ht="12" customHeight="1" x14ac:dyDescent="0.4"/>
    <row r="259" ht="12" customHeight="1" x14ac:dyDescent="0.4"/>
    <row r="260" ht="12" customHeight="1" x14ac:dyDescent="0.4"/>
    <row r="261" ht="12" customHeight="1" x14ac:dyDescent="0.4"/>
    <row r="262" ht="12" customHeight="1" x14ac:dyDescent="0.4"/>
    <row r="263" ht="12" customHeight="1" x14ac:dyDescent="0.4"/>
    <row r="264" ht="12" customHeight="1" x14ac:dyDescent="0.4"/>
    <row r="265" ht="12" customHeight="1" x14ac:dyDescent="0.4"/>
    <row r="266" ht="12" customHeight="1" x14ac:dyDescent="0.4"/>
    <row r="267" ht="12" customHeight="1" x14ac:dyDescent="0.4"/>
    <row r="268" ht="12" customHeight="1" x14ac:dyDescent="0.4"/>
    <row r="269" ht="12" customHeight="1" x14ac:dyDescent="0.4"/>
    <row r="270" ht="12" customHeight="1" x14ac:dyDescent="0.4"/>
    <row r="271" ht="12" customHeight="1" x14ac:dyDescent="0.4"/>
    <row r="272" ht="12" customHeight="1" x14ac:dyDescent="0.4"/>
    <row r="273" ht="12" customHeight="1" x14ac:dyDescent="0.4"/>
    <row r="274" ht="12" customHeight="1" x14ac:dyDescent="0.4"/>
    <row r="275" ht="12" customHeight="1" x14ac:dyDescent="0.4"/>
    <row r="276" ht="12" customHeight="1" x14ac:dyDescent="0.4"/>
    <row r="277" ht="12" customHeight="1" x14ac:dyDescent="0.4"/>
    <row r="278" ht="12" customHeight="1" x14ac:dyDescent="0.4"/>
    <row r="279" ht="12" customHeight="1" x14ac:dyDescent="0.4"/>
    <row r="280" ht="12" customHeight="1" x14ac:dyDescent="0.4"/>
    <row r="281" ht="12" customHeight="1" x14ac:dyDescent="0.4"/>
    <row r="282" ht="12" customHeight="1" x14ac:dyDescent="0.4"/>
    <row r="283" ht="12" customHeight="1" x14ac:dyDescent="0.4"/>
    <row r="284" ht="12" customHeight="1" x14ac:dyDescent="0.4"/>
    <row r="285" ht="12" customHeight="1" x14ac:dyDescent="0.4"/>
    <row r="286" ht="12" customHeight="1" x14ac:dyDescent="0.4"/>
    <row r="287" ht="12" customHeight="1" x14ac:dyDescent="0.4"/>
    <row r="288" ht="12" customHeight="1" x14ac:dyDescent="0.4"/>
    <row r="289" ht="12" customHeight="1" x14ac:dyDescent="0.4"/>
    <row r="290" ht="12" customHeight="1" x14ac:dyDescent="0.4"/>
    <row r="291" ht="12" customHeight="1" x14ac:dyDescent="0.4"/>
    <row r="292" ht="12" customHeight="1" x14ac:dyDescent="0.4"/>
    <row r="293" ht="12" customHeight="1" x14ac:dyDescent="0.4"/>
    <row r="294" ht="12" customHeight="1" x14ac:dyDescent="0.4"/>
    <row r="295" ht="12" customHeight="1" x14ac:dyDescent="0.4"/>
    <row r="296" ht="12" customHeight="1" x14ac:dyDescent="0.4"/>
    <row r="297" ht="12" customHeight="1" x14ac:dyDescent="0.4"/>
    <row r="298" ht="12" customHeight="1" x14ac:dyDescent="0.4"/>
    <row r="299" ht="12" customHeight="1" x14ac:dyDescent="0.4"/>
    <row r="300" ht="12" customHeight="1" x14ac:dyDescent="0.4"/>
    <row r="301" ht="12" customHeight="1" x14ac:dyDescent="0.4"/>
    <row r="302" ht="12" customHeight="1" x14ac:dyDescent="0.4"/>
    <row r="303" ht="12" customHeight="1" x14ac:dyDescent="0.4"/>
    <row r="304" ht="12" customHeight="1" x14ac:dyDescent="0.4"/>
    <row r="305" ht="12" customHeight="1" x14ac:dyDescent="0.4"/>
    <row r="306" ht="12" customHeight="1" x14ac:dyDescent="0.4"/>
    <row r="307" ht="12" customHeight="1" x14ac:dyDescent="0.4"/>
    <row r="308" ht="12" customHeight="1" x14ac:dyDescent="0.4"/>
    <row r="309" ht="12" customHeight="1" x14ac:dyDescent="0.4"/>
    <row r="310" ht="12" customHeight="1" x14ac:dyDescent="0.4"/>
    <row r="311" ht="12" customHeight="1" x14ac:dyDescent="0.4"/>
    <row r="312" ht="12" customHeight="1" x14ac:dyDescent="0.4"/>
    <row r="313" ht="12" customHeight="1" x14ac:dyDescent="0.4"/>
    <row r="314" ht="12" customHeight="1" x14ac:dyDescent="0.4"/>
    <row r="315" ht="12" customHeight="1" x14ac:dyDescent="0.4"/>
    <row r="316" ht="12" customHeight="1" x14ac:dyDescent="0.4"/>
    <row r="317" ht="12" customHeight="1" x14ac:dyDescent="0.4"/>
    <row r="318" ht="12" customHeight="1" x14ac:dyDescent="0.4"/>
    <row r="319" ht="12" customHeight="1" x14ac:dyDescent="0.4"/>
    <row r="320" ht="12" customHeight="1" x14ac:dyDescent="0.4"/>
    <row r="321" ht="12" customHeight="1" x14ac:dyDescent="0.4"/>
    <row r="322" ht="12" customHeight="1" x14ac:dyDescent="0.4"/>
    <row r="323" ht="12" customHeight="1" x14ac:dyDescent="0.4"/>
    <row r="324" ht="12" customHeight="1" x14ac:dyDescent="0.4"/>
    <row r="325" ht="12" customHeight="1" x14ac:dyDescent="0.4"/>
    <row r="326" ht="12" customHeight="1" x14ac:dyDescent="0.4"/>
    <row r="327" ht="12" customHeight="1" x14ac:dyDescent="0.4"/>
    <row r="328" ht="12" customHeight="1" x14ac:dyDescent="0.4"/>
    <row r="329" ht="12" customHeight="1" x14ac:dyDescent="0.4"/>
    <row r="330" ht="12" customHeight="1" x14ac:dyDescent="0.4"/>
    <row r="331" ht="12" customHeight="1" x14ac:dyDescent="0.4"/>
    <row r="332" ht="12" customHeight="1" x14ac:dyDescent="0.4"/>
    <row r="333" ht="12" customHeight="1" x14ac:dyDescent="0.4"/>
    <row r="334" ht="12" customHeight="1" x14ac:dyDescent="0.4"/>
    <row r="335" ht="12" customHeight="1" x14ac:dyDescent="0.4"/>
    <row r="336" ht="12" customHeight="1" x14ac:dyDescent="0.4"/>
    <row r="337" ht="12" customHeight="1" x14ac:dyDescent="0.4"/>
    <row r="338" ht="12" customHeight="1" x14ac:dyDescent="0.4"/>
    <row r="339" ht="12" customHeight="1" x14ac:dyDescent="0.4"/>
    <row r="340" ht="12" customHeight="1" x14ac:dyDescent="0.4"/>
    <row r="341" ht="12" customHeight="1" x14ac:dyDescent="0.4"/>
    <row r="342" ht="12" customHeight="1" x14ac:dyDescent="0.4"/>
    <row r="343" ht="12" customHeight="1" x14ac:dyDescent="0.4"/>
    <row r="344" ht="12" customHeight="1" x14ac:dyDescent="0.4"/>
    <row r="345" ht="12" customHeight="1" x14ac:dyDescent="0.4"/>
    <row r="346" ht="12" customHeight="1" x14ac:dyDescent="0.4"/>
    <row r="347" ht="12" customHeight="1" x14ac:dyDescent="0.4"/>
    <row r="348" ht="12" customHeight="1" x14ac:dyDescent="0.4"/>
    <row r="349" ht="12" customHeight="1" x14ac:dyDescent="0.4"/>
    <row r="350" ht="12" customHeight="1" x14ac:dyDescent="0.4"/>
    <row r="351" ht="12" customHeight="1" x14ac:dyDescent="0.4"/>
    <row r="352" ht="12" customHeight="1" x14ac:dyDescent="0.4"/>
    <row r="353" ht="12" customHeight="1" x14ac:dyDescent="0.4"/>
    <row r="354" ht="12" customHeight="1" x14ac:dyDescent="0.4"/>
    <row r="355" ht="12" customHeight="1" x14ac:dyDescent="0.4"/>
    <row r="356" ht="12" customHeight="1" x14ac:dyDescent="0.4"/>
    <row r="357" ht="12" customHeight="1" x14ac:dyDescent="0.4"/>
    <row r="358" ht="12" customHeight="1" x14ac:dyDescent="0.4"/>
    <row r="359" ht="12" customHeight="1" x14ac:dyDescent="0.4"/>
    <row r="360" ht="12" customHeight="1" x14ac:dyDescent="0.4"/>
    <row r="361" ht="12" customHeight="1" x14ac:dyDescent="0.4"/>
    <row r="362" ht="12" customHeight="1" x14ac:dyDescent="0.4"/>
    <row r="363" ht="12" customHeight="1" x14ac:dyDescent="0.4"/>
    <row r="364" ht="12" customHeight="1" x14ac:dyDescent="0.4"/>
    <row r="365" ht="12" customHeight="1" x14ac:dyDescent="0.4"/>
    <row r="366" ht="12" customHeight="1" x14ac:dyDescent="0.4"/>
    <row r="367" ht="12" customHeight="1" x14ac:dyDescent="0.4"/>
    <row r="368" ht="12" customHeight="1" x14ac:dyDescent="0.4"/>
    <row r="369" ht="12" customHeight="1" x14ac:dyDescent="0.4"/>
    <row r="370" ht="12" customHeight="1" x14ac:dyDescent="0.4"/>
    <row r="371" ht="12" customHeight="1" x14ac:dyDescent="0.4"/>
    <row r="372" ht="12" customHeight="1" x14ac:dyDescent="0.4"/>
    <row r="373" ht="12" customHeight="1" x14ac:dyDescent="0.4"/>
    <row r="374" ht="12" customHeight="1" x14ac:dyDescent="0.4"/>
    <row r="375" ht="12" customHeight="1" x14ac:dyDescent="0.4"/>
    <row r="376" ht="12" customHeight="1" x14ac:dyDescent="0.4"/>
    <row r="377" ht="12" customHeight="1" x14ac:dyDescent="0.4"/>
    <row r="378" ht="12" customHeight="1" x14ac:dyDescent="0.4"/>
    <row r="379" ht="12" customHeight="1" x14ac:dyDescent="0.4"/>
    <row r="380" ht="12" customHeight="1" x14ac:dyDescent="0.4"/>
    <row r="381" ht="12" customHeight="1" x14ac:dyDescent="0.4"/>
    <row r="382" ht="12" customHeight="1" x14ac:dyDescent="0.4"/>
    <row r="383" ht="12" customHeight="1" x14ac:dyDescent="0.4"/>
    <row r="384" ht="12" customHeight="1" x14ac:dyDescent="0.4"/>
    <row r="385" ht="12" customHeight="1" x14ac:dyDescent="0.4"/>
    <row r="386" ht="12" customHeight="1" x14ac:dyDescent="0.4"/>
    <row r="387" ht="12" customHeight="1" x14ac:dyDescent="0.4"/>
    <row r="388" ht="12" customHeight="1" x14ac:dyDescent="0.4"/>
    <row r="389" ht="12" customHeight="1" x14ac:dyDescent="0.4"/>
    <row r="390" ht="12" customHeight="1" x14ac:dyDescent="0.4"/>
    <row r="391" ht="12" customHeight="1" x14ac:dyDescent="0.4"/>
    <row r="392" ht="12" customHeight="1" x14ac:dyDescent="0.4"/>
    <row r="393" ht="12" customHeight="1" x14ac:dyDescent="0.4"/>
    <row r="394" ht="12" customHeight="1" x14ac:dyDescent="0.4"/>
    <row r="395" ht="12" customHeight="1" x14ac:dyDescent="0.4"/>
    <row r="396" ht="12" customHeight="1" x14ac:dyDescent="0.4"/>
    <row r="397" ht="12" customHeight="1" x14ac:dyDescent="0.4"/>
    <row r="398" ht="12" customHeight="1" x14ac:dyDescent="0.4"/>
    <row r="399" ht="12" customHeight="1" x14ac:dyDescent="0.4"/>
    <row r="400" ht="12" customHeight="1" x14ac:dyDescent="0.4"/>
    <row r="401" ht="12" customHeight="1" x14ac:dyDescent="0.4"/>
    <row r="402" ht="12" customHeight="1" x14ac:dyDescent="0.4"/>
    <row r="403" ht="12" customHeight="1" x14ac:dyDescent="0.4"/>
    <row r="404" ht="12" customHeight="1" x14ac:dyDescent="0.4"/>
    <row r="405" ht="12" customHeight="1" x14ac:dyDescent="0.4"/>
    <row r="406" ht="12" customHeight="1" x14ac:dyDescent="0.4"/>
    <row r="407" ht="12" customHeight="1" x14ac:dyDescent="0.4"/>
    <row r="408" ht="12" customHeight="1" x14ac:dyDescent="0.4"/>
    <row r="409" ht="12" customHeight="1" x14ac:dyDescent="0.4"/>
    <row r="410" ht="12" customHeight="1" x14ac:dyDescent="0.4"/>
    <row r="411" ht="12" customHeight="1" x14ac:dyDescent="0.4"/>
    <row r="412" ht="12" customHeight="1" x14ac:dyDescent="0.4"/>
    <row r="413" ht="12" customHeight="1" x14ac:dyDescent="0.4"/>
    <row r="414" ht="12" customHeight="1" x14ac:dyDescent="0.4"/>
    <row r="415" ht="12" customHeight="1" x14ac:dyDescent="0.4"/>
    <row r="416" ht="12" customHeight="1" x14ac:dyDescent="0.4"/>
    <row r="417" ht="12" customHeight="1" x14ac:dyDescent="0.4"/>
    <row r="418" ht="12" customHeight="1" x14ac:dyDescent="0.4"/>
    <row r="419" ht="12" customHeight="1" x14ac:dyDescent="0.4"/>
    <row r="420" ht="12" customHeight="1" x14ac:dyDescent="0.4"/>
    <row r="421" ht="12" customHeight="1" x14ac:dyDescent="0.4"/>
    <row r="422" ht="12" customHeight="1" x14ac:dyDescent="0.4"/>
    <row r="423" ht="12" customHeight="1" x14ac:dyDescent="0.4"/>
    <row r="424" ht="12" customHeight="1" x14ac:dyDescent="0.4"/>
    <row r="425" ht="12" customHeight="1" x14ac:dyDescent="0.4"/>
    <row r="426" ht="12" customHeight="1" x14ac:dyDescent="0.4"/>
    <row r="427" ht="12" customHeight="1" x14ac:dyDescent="0.4"/>
    <row r="428" ht="12" customHeight="1" x14ac:dyDescent="0.4"/>
    <row r="429" ht="12" customHeight="1" x14ac:dyDescent="0.4"/>
    <row r="430" ht="12" customHeight="1" x14ac:dyDescent="0.4"/>
    <row r="431" ht="12" customHeight="1" x14ac:dyDescent="0.4"/>
    <row r="432" ht="12" customHeight="1" x14ac:dyDescent="0.4"/>
    <row r="433" ht="12" customHeight="1" x14ac:dyDescent="0.4"/>
    <row r="434" ht="12" customHeight="1" x14ac:dyDescent="0.4"/>
    <row r="435" ht="12" customHeight="1" x14ac:dyDescent="0.4"/>
    <row r="436" ht="12" customHeight="1" x14ac:dyDescent="0.4"/>
    <row r="437" ht="12" customHeight="1" x14ac:dyDescent="0.4"/>
    <row r="438" ht="12" customHeight="1" x14ac:dyDescent="0.4"/>
    <row r="439" ht="12" customHeight="1" x14ac:dyDescent="0.4"/>
    <row r="440" ht="12" customHeight="1" x14ac:dyDescent="0.4"/>
    <row r="441" ht="12" customHeight="1" x14ac:dyDescent="0.4"/>
    <row r="442" ht="12" customHeight="1" x14ac:dyDescent="0.4"/>
    <row r="443" ht="12" customHeight="1" x14ac:dyDescent="0.4"/>
    <row r="444" ht="12" customHeight="1" x14ac:dyDescent="0.4"/>
    <row r="445" ht="12" customHeight="1" x14ac:dyDescent="0.4"/>
    <row r="446" ht="12" customHeight="1" x14ac:dyDescent="0.4"/>
    <row r="447" ht="12" customHeight="1" x14ac:dyDescent="0.4"/>
    <row r="448" ht="12" customHeight="1" x14ac:dyDescent="0.4"/>
    <row r="449" ht="12" customHeight="1" x14ac:dyDescent="0.4"/>
    <row r="450" ht="12" customHeight="1" x14ac:dyDescent="0.4"/>
    <row r="451" ht="12" customHeight="1" x14ac:dyDescent="0.4"/>
    <row r="452" ht="12" customHeight="1" x14ac:dyDescent="0.4"/>
    <row r="453" ht="12" customHeight="1" x14ac:dyDescent="0.4"/>
    <row r="454" ht="12" customHeight="1" x14ac:dyDescent="0.4"/>
    <row r="455" ht="12" customHeight="1" x14ac:dyDescent="0.4"/>
    <row r="456" ht="12" customHeight="1" x14ac:dyDescent="0.4"/>
    <row r="457" ht="12" customHeight="1" x14ac:dyDescent="0.4"/>
    <row r="458" ht="12" customHeight="1" x14ac:dyDescent="0.4"/>
    <row r="459" ht="12" customHeight="1" x14ac:dyDescent="0.4"/>
    <row r="460" ht="12" customHeight="1" x14ac:dyDescent="0.4"/>
    <row r="461" ht="12" customHeight="1" x14ac:dyDescent="0.4"/>
    <row r="462" ht="12" customHeight="1" x14ac:dyDescent="0.4"/>
    <row r="463" ht="12" customHeight="1" x14ac:dyDescent="0.4"/>
    <row r="464" ht="12" customHeight="1" x14ac:dyDescent="0.4"/>
    <row r="465" ht="12" customHeight="1" x14ac:dyDescent="0.4"/>
    <row r="466" ht="12" customHeight="1" x14ac:dyDescent="0.4"/>
    <row r="467" ht="12" customHeight="1" x14ac:dyDescent="0.4"/>
    <row r="468" ht="12" customHeight="1" x14ac:dyDescent="0.4"/>
    <row r="469" ht="12" customHeight="1" x14ac:dyDescent="0.4"/>
    <row r="470" ht="12" customHeight="1" x14ac:dyDescent="0.4"/>
    <row r="471" ht="12" customHeight="1" x14ac:dyDescent="0.4"/>
    <row r="472" ht="12" customHeight="1" x14ac:dyDescent="0.4"/>
    <row r="473" ht="12" customHeight="1" x14ac:dyDescent="0.4"/>
    <row r="474" ht="12" customHeight="1" x14ac:dyDescent="0.4"/>
    <row r="475" ht="12" customHeight="1" x14ac:dyDescent="0.4"/>
    <row r="476" ht="12" customHeight="1" x14ac:dyDescent="0.4"/>
    <row r="477" ht="12" customHeight="1" x14ac:dyDescent="0.4"/>
    <row r="478" ht="12" customHeight="1" x14ac:dyDescent="0.4"/>
    <row r="479" ht="12" customHeight="1" x14ac:dyDescent="0.4"/>
    <row r="480" ht="12" customHeight="1" x14ac:dyDescent="0.4"/>
    <row r="481" ht="12" customHeight="1" x14ac:dyDescent="0.4"/>
    <row r="482" ht="12" customHeight="1" x14ac:dyDescent="0.4"/>
    <row r="483" ht="12" customHeight="1" x14ac:dyDescent="0.4"/>
    <row r="484" ht="12" customHeight="1" x14ac:dyDescent="0.4"/>
    <row r="485" ht="12" customHeight="1" x14ac:dyDescent="0.4"/>
    <row r="486" ht="12" customHeight="1" x14ac:dyDescent="0.4"/>
    <row r="487" ht="12" customHeight="1" x14ac:dyDescent="0.4"/>
    <row r="488" ht="12" customHeight="1" x14ac:dyDescent="0.4"/>
    <row r="489" ht="12" customHeight="1" x14ac:dyDescent="0.4"/>
    <row r="490" ht="12" customHeight="1" x14ac:dyDescent="0.4"/>
    <row r="491" ht="12" customHeight="1" x14ac:dyDescent="0.4"/>
    <row r="492" ht="12" customHeight="1" x14ac:dyDescent="0.4"/>
    <row r="493" ht="12" customHeight="1" x14ac:dyDescent="0.4"/>
    <row r="494" ht="12" customHeight="1" x14ac:dyDescent="0.4"/>
    <row r="495" ht="12" customHeight="1" x14ac:dyDescent="0.4"/>
    <row r="496" ht="12" customHeight="1" x14ac:dyDescent="0.4"/>
    <row r="497" ht="12" customHeight="1" x14ac:dyDescent="0.4"/>
    <row r="498" ht="12" customHeight="1" x14ac:dyDescent="0.4"/>
    <row r="499" ht="12" customHeight="1" x14ac:dyDescent="0.4"/>
    <row r="500" ht="12" customHeight="1" x14ac:dyDescent="0.4"/>
    <row r="501" ht="12" customHeight="1" x14ac:dyDescent="0.4"/>
    <row r="502" ht="12" customHeight="1" x14ac:dyDescent="0.4"/>
    <row r="503" ht="12" customHeight="1" x14ac:dyDescent="0.4"/>
    <row r="504" ht="12" customHeight="1" x14ac:dyDescent="0.4"/>
    <row r="505" ht="12" customHeight="1" x14ac:dyDescent="0.4"/>
    <row r="506" ht="12" customHeight="1" x14ac:dyDescent="0.4"/>
    <row r="507" ht="12" customHeight="1" x14ac:dyDescent="0.4"/>
    <row r="508" ht="12" customHeight="1" x14ac:dyDescent="0.4"/>
    <row r="509" ht="12" customHeight="1" x14ac:dyDescent="0.4"/>
    <row r="510" ht="12" customHeight="1" x14ac:dyDescent="0.4"/>
    <row r="511" ht="12" customHeight="1" x14ac:dyDescent="0.4"/>
    <row r="512" ht="12" customHeight="1" x14ac:dyDescent="0.4"/>
    <row r="513" ht="12" customHeight="1" x14ac:dyDescent="0.4"/>
    <row r="514" ht="12" customHeight="1" x14ac:dyDescent="0.4"/>
    <row r="515" ht="12" customHeight="1" x14ac:dyDescent="0.4"/>
    <row r="516" ht="12" customHeight="1" x14ac:dyDescent="0.4"/>
    <row r="517" ht="12" customHeight="1" x14ac:dyDescent="0.4"/>
    <row r="518" ht="12" customHeight="1" x14ac:dyDescent="0.4"/>
    <row r="519" ht="12" customHeight="1" x14ac:dyDescent="0.4"/>
    <row r="520" ht="12" customHeight="1" x14ac:dyDescent="0.4"/>
    <row r="521" ht="12" customHeight="1" x14ac:dyDescent="0.4"/>
    <row r="522" ht="12" customHeight="1" x14ac:dyDescent="0.4"/>
    <row r="523" ht="12" customHeight="1" x14ac:dyDescent="0.4"/>
    <row r="524" ht="12" customHeight="1" x14ac:dyDescent="0.4"/>
    <row r="525" ht="12" customHeight="1" x14ac:dyDescent="0.4"/>
    <row r="526" ht="12" customHeight="1" x14ac:dyDescent="0.4"/>
    <row r="527" ht="12" customHeight="1" x14ac:dyDescent="0.4"/>
    <row r="528" ht="12" customHeight="1" x14ac:dyDescent="0.4"/>
    <row r="529" ht="12" customHeight="1" x14ac:dyDescent="0.4"/>
    <row r="530" ht="12" customHeight="1" x14ac:dyDescent="0.4"/>
    <row r="531" ht="12" customHeight="1" x14ac:dyDescent="0.4"/>
    <row r="532" ht="12" customHeight="1" x14ac:dyDescent="0.4"/>
    <row r="533" ht="12" customHeight="1" x14ac:dyDescent="0.4"/>
    <row r="534" ht="12" customHeight="1" x14ac:dyDescent="0.4"/>
    <row r="535" ht="12" customHeight="1" x14ac:dyDescent="0.4"/>
    <row r="536" ht="12" customHeight="1" x14ac:dyDescent="0.4"/>
    <row r="537" ht="12" customHeight="1" x14ac:dyDescent="0.4"/>
    <row r="538" ht="12" customHeight="1" x14ac:dyDescent="0.4"/>
    <row r="539" ht="12" customHeight="1" x14ac:dyDescent="0.4"/>
    <row r="540" ht="12" customHeight="1" x14ac:dyDescent="0.4"/>
    <row r="541" ht="12" customHeight="1" x14ac:dyDescent="0.4"/>
    <row r="542" ht="12" customHeight="1" x14ac:dyDescent="0.4"/>
    <row r="543" ht="12" customHeight="1" x14ac:dyDescent="0.4"/>
    <row r="544" ht="12" customHeight="1" x14ac:dyDescent="0.4"/>
    <row r="545" ht="12" customHeight="1" x14ac:dyDescent="0.4"/>
    <row r="546" ht="12" customHeight="1" x14ac:dyDescent="0.4"/>
    <row r="547" ht="12" customHeight="1" x14ac:dyDescent="0.4"/>
    <row r="548" ht="12" customHeight="1" x14ac:dyDescent="0.4"/>
    <row r="549" ht="12" customHeight="1" x14ac:dyDescent="0.4"/>
    <row r="550" ht="12" customHeight="1" x14ac:dyDescent="0.4"/>
    <row r="551" ht="12" customHeight="1" x14ac:dyDescent="0.4"/>
    <row r="552" ht="12" customHeight="1" x14ac:dyDescent="0.4"/>
    <row r="553" ht="12" customHeight="1" x14ac:dyDescent="0.4"/>
    <row r="554" ht="12" customHeight="1" x14ac:dyDescent="0.4"/>
    <row r="555" ht="12" customHeight="1" x14ac:dyDescent="0.4"/>
    <row r="556" ht="12" customHeight="1" x14ac:dyDescent="0.4"/>
    <row r="557" ht="12" customHeight="1" x14ac:dyDescent="0.4"/>
    <row r="558" ht="12" customHeight="1" x14ac:dyDescent="0.4"/>
    <row r="559" ht="12" customHeight="1" x14ac:dyDescent="0.4"/>
    <row r="560" ht="12" customHeight="1" x14ac:dyDescent="0.4"/>
    <row r="561" ht="12" customHeight="1" x14ac:dyDescent="0.4"/>
    <row r="562" ht="12" customHeight="1" x14ac:dyDescent="0.4"/>
    <row r="563" ht="12" customHeight="1" x14ac:dyDescent="0.4"/>
    <row r="564" ht="12" customHeight="1" x14ac:dyDescent="0.4"/>
    <row r="565" ht="12" customHeight="1" x14ac:dyDescent="0.4"/>
    <row r="566" ht="12" customHeight="1" x14ac:dyDescent="0.4"/>
    <row r="567" ht="12" customHeight="1" x14ac:dyDescent="0.4"/>
    <row r="568" ht="12" customHeight="1" x14ac:dyDescent="0.4"/>
    <row r="569" ht="12" customHeight="1" x14ac:dyDescent="0.4"/>
    <row r="570" ht="12" customHeight="1" x14ac:dyDescent="0.4"/>
    <row r="571" ht="12" customHeight="1" x14ac:dyDescent="0.4"/>
    <row r="572" ht="12" customHeight="1" x14ac:dyDescent="0.4"/>
    <row r="573" ht="12" customHeight="1" x14ac:dyDescent="0.4"/>
    <row r="574" ht="12" customHeight="1" x14ac:dyDescent="0.4"/>
    <row r="575" ht="12" customHeight="1" x14ac:dyDescent="0.4"/>
    <row r="576" ht="12" customHeight="1" x14ac:dyDescent="0.4"/>
    <row r="577" ht="12" customHeight="1" x14ac:dyDescent="0.4"/>
    <row r="578" ht="12" customHeight="1" x14ac:dyDescent="0.4"/>
    <row r="579" ht="12" customHeight="1" x14ac:dyDescent="0.4"/>
    <row r="580" ht="12" customHeight="1" x14ac:dyDescent="0.4"/>
    <row r="581" ht="12" customHeight="1" x14ac:dyDescent="0.4"/>
    <row r="582" ht="12" customHeight="1" x14ac:dyDescent="0.4"/>
    <row r="583" ht="12" customHeight="1" x14ac:dyDescent="0.4"/>
    <row r="584" ht="12" customHeight="1" x14ac:dyDescent="0.4"/>
    <row r="585" ht="12" customHeight="1" x14ac:dyDescent="0.4"/>
    <row r="586" ht="12" customHeight="1" x14ac:dyDescent="0.4"/>
    <row r="587" ht="12" customHeight="1" x14ac:dyDescent="0.4"/>
    <row r="588" ht="12" customHeight="1" x14ac:dyDescent="0.4"/>
    <row r="589" ht="12" customHeight="1" x14ac:dyDescent="0.4"/>
    <row r="590" ht="12" customHeight="1" x14ac:dyDescent="0.4"/>
    <row r="591" ht="12" customHeight="1" x14ac:dyDescent="0.4"/>
    <row r="592" ht="12" customHeight="1" x14ac:dyDescent="0.4"/>
    <row r="593" ht="12" customHeight="1" x14ac:dyDescent="0.4"/>
    <row r="594" ht="12" customHeight="1" x14ac:dyDescent="0.4"/>
    <row r="595" ht="12" customHeight="1" x14ac:dyDescent="0.4"/>
    <row r="596" ht="12" customHeight="1" x14ac:dyDescent="0.4"/>
    <row r="597" ht="12" customHeight="1" x14ac:dyDescent="0.4"/>
    <row r="598" ht="12" customHeight="1" x14ac:dyDescent="0.4"/>
    <row r="599" ht="12" customHeight="1" x14ac:dyDescent="0.4"/>
    <row r="600" ht="12" customHeight="1" x14ac:dyDescent="0.4"/>
    <row r="601" ht="12" customHeight="1" x14ac:dyDescent="0.4"/>
    <row r="602" ht="12" customHeight="1" x14ac:dyDescent="0.4"/>
    <row r="603" ht="12" customHeight="1" x14ac:dyDescent="0.4"/>
    <row r="604" ht="12" customHeight="1" x14ac:dyDescent="0.4"/>
    <row r="605" ht="12" customHeight="1" x14ac:dyDescent="0.4"/>
    <row r="606" ht="12" customHeight="1" x14ac:dyDescent="0.4"/>
    <row r="607" ht="12" customHeight="1" x14ac:dyDescent="0.4"/>
    <row r="608" ht="12" customHeight="1" x14ac:dyDescent="0.4"/>
    <row r="609" ht="12" customHeight="1" x14ac:dyDescent="0.4"/>
    <row r="610" ht="12" customHeight="1" x14ac:dyDescent="0.4"/>
    <row r="611" ht="12" customHeight="1" x14ac:dyDescent="0.4"/>
    <row r="612" ht="12" customHeight="1" x14ac:dyDescent="0.4"/>
    <row r="613" ht="12" customHeight="1" x14ac:dyDescent="0.4"/>
    <row r="614" ht="12" customHeight="1" x14ac:dyDescent="0.4"/>
    <row r="615" ht="12" customHeight="1" x14ac:dyDescent="0.4"/>
    <row r="616" ht="12" customHeight="1" x14ac:dyDescent="0.4"/>
    <row r="617" ht="12" customHeight="1" x14ac:dyDescent="0.4"/>
    <row r="618" ht="12" customHeight="1" x14ac:dyDescent="0.4"/>
    <row r="619" ht="12" customHeight="1" x14ac:dyDescent="0.4"/>
    <row r="620" ht="12" customHeight="1" x14ac:dyDescent="0.4"/>
    <row r="621" ht="12" customHeight="1" x14ac:dyDescent="0.4"/>
    <row r="622" ht="12" customHeight="1" x14ac:dyDescent="0.4"/>
    <row r="623" ht="12" customHeight="1" x14ac:dyDescent="0.4"/>
    <row r="624" ht="12" customHeight="1" x14ac:dyDescent="0.4"/>
    <row r="625" ht="12" customHeight="1" x14ac:dyDescent="0.4"/>
    <row r="626" ht="12" customHeight="1" x14ac:dyDescent="0.4"/>
    <row r="627" ht="12" customHeight="1" x14ac:dyDescent="0.4"/>
    <row r="628" ht="12" customHeight="1" x14ac:dyDescent="0.4"/>
    <row r="629" ht="12" customHeight="1" x14ac:dyDescent="0.4"/>
    <row r="630" ht="12" customHeight="1" x14ac:dyDescent="0.4"/>
    <row r="631" ht="12" customHeight="1" x14ac:dyDescent="0.4"/>
    <row r="632" ht="12" customHeight="1" x14ac:dyDescent="0.4"/>
    <row r="633" ht="12" customHeight="1" x14ac:dyDescent="0.4"/>
    <row r="634" ht="12" customHeight="1" x14ac:dyDescent="0.4"/>
    <row r="635" ht="12" customHeight="1" x14ac:dyDescent="0.4"/>
    <row r="636" ht="12" customHeight="1" x14ac:dyDescent="0.4"/>
    <row r="637" ht="12" customHeight="1" x14ac:dyDescent="0.4"/>
    <row r="638" ht="12" customHeight="1" x14ac:dyDescent="0.4"/>
    <row r="639" ht="12" customHeight="1" x14ac:dyDescent="0.4"/>
    <row r="640" ht="12" customHeight="1" x14ac:dyDescent="0.4"/>
    <row r="641" ht="12" customHeight="1" x14ac:dyDescent="0.4"/>
    <row r="642" ht="12" customHeight="1" x14ac:dyDescent="0.4"/>
    <row r="643" ht="12" customHeight="1" x14ac:dyDescent="0.4"/>
    <row r="644" ht="12" customHeight="1" x14ac:dyDescent="0.4"/>
    <row r="645" ht="12" customHeight="1" x14ac:dyDescent="0.4"/>
    <row r="646" ht="12" customHeight="1" x14ac:dyDescent="0.4"/>
    <row r="647" ht="12" customHeight="1" x14ac:dyDescent="0.4"/>
    <row r="648" ht="12" customHeight="1" x14ac:dyDescent="0.4"/>
    <row r="649" ht="12" customHeight="1" x14ac:dyDescent="0.4"/>
    <row r="650" ht="12" customHeight="1" x14ac:dyDescent="0.4"/>
    <row r="651" ht="12" customHeight="1" x14ac:dyDescent="0.4"/>
    <row r="652" ht="12" customHeight="1" x14ac:dyDescent="0.4"/>
    <row r="653" ht="12" customHeight="1" x14ac:dyDescent="0.4"/>
    <row r="654" ht="12" customHeight="1" x14ac:dyDescent="0.4"/>
    <row r="655" ht="12" customHeight="1" x14ac:dyDescent="0.4"/>
    <row r="656" ht="12" customHeight="1" x14ac:dyDescent="0.4"/>
    <row r="657" ht="12" customHeight="1" x14ac:dyDescent="0.4"/>
    <row r="658" ht="12" customHeight="1" x14ac:dyDescent="0.4"/>
    <row r="659" ht="12" customHeight="1" x14ac:dyDescent="0.4"/>
    <row r="660" ht="12" customHeight="1" x14ac:dyDescent="0.4"/>
    <row r="661" ht="12" customHeight="1" x14ac:dyDescent="0.4"/>
    <row r="662" ht="12" customHeight="1" x14ac:dyDescent="0.4"/>
    <row r="663" ht="12" customHeight="1" x14ac:dyDescent="0.4"/>
    <row r="664" ht="12" customHeight="1" x14ac:dyDescent="0.4"/>
    <row r="665" ht="12" customHeight="1" x14ac:dyDescent="0.4"/>
    <row r="666" ht="12" customHeight="1" x14ac:dyDescent="0.4"/>
    <row r="667" ht="12" customHeight="1" x14ac:dyDescent="0.4"/>
    <row r="668" ht="12" customHeight="1" x14ac:dyDescent="0.4"/>
    <row r="669" ht="12" customHeight="1" x14ac:dyDescent="0.4"/>
    <row r="670" ht="12" customHeight="1" x14ac:dyDescent="0.4"/>
    <row r="671" ht="12" customHeight="1" x14ac:dyDescent="0.4"/>
    <row r="672" ht="12" customHeight="1" x14ac:dyDescent="0.4"/>
    <row r="673" ht="12" customHeight="1" x14ac:dyDescent="0.4"/>
    <row r="674" ht="12" customHeight="1" x14ac:dyDescent="0.4"/>
    <row r="675" ht="12" customHeight="1" x14ac:dyDescent="0.4"/>
    <row r="676" ht="12" customHeight="1" x14ac:dyDescent="0.4"/>
    <row r="677" ht="12" customHeight="1" x14ac:dyDescent="0.4"/>
    <row r="678" ht="12" customHeight="1" x14ac:dyDescent="0.4"/>
    <row r="679" ht="12" customHeight="1" x14ac:dyDescent="0.4"/>
    <row r="680" ht="12" customHeight="1" x14ac:dyDescent="0.4"/>
    <row r="681" ht="12" customHeight="1" x14ac:dyDescent="0.4"/>
    <row r="682" ht="12" customHeight="1" x14ac:dyDescent="0.4"/>
    <row r="683" ht="12" customHeight="1" x14ac:dyDescent="0.4"/>
    <row r="684" ht="12" customHeight="1" x14ac:dyDescent="0.4"/>
    <row r="685" ht="12" customHeight="1" x14ac:dyDescent="0.4"/>
    <row r="686" ht="12" customHeight="1" x14ac:dyDescent="0.4"/>
    <row r="687" ht="12" customHeight="1" x14ac:dyDescent="0.4"/>
    <row r="688" ht="12" customHeight="1" x14ac:dyDescent="0.4"/>
    <row r="689" ht="12" customHeight="1" x14ac:dyDescent="0.4"/>
    <row r="690" ht="12" customHeight="1" x14ac:dyDescent="0.4"/>
    <row r="691" ht="12" customHeight="1" x14ac:dyDescent="0.4"/>
    <row r="692" ht="12" customHeight="1" x14ac:dyDescent="0.4"/>
    <row r="693" ht="12" customHeight="1" x14ac:dyDescent="0.4"/>
    <row r="694" ht="12" customHeight="1" x14ac:dyDescent="0.4"/>
    <row r="695" ht="12" customHeight="1" x14ac:dyDescent="0.4"/>
    <row r="696" ht="12" customHeight="1" x14ac:dyDescent="0.4"/>
    <row r="697" ht="12" customHeight="1" x14ac:dyDescent="0.4"/>
    <row r="698" ht="12" customHeight="1" x14ac:dyDescent="0.4"/>
    <row r="699" ht="12" customHeight="1" x14ac:dyDescent="0.4"/>
    <row r="700" ht="12" customHeight="1" x14ac:dyDescent="0.4"/>
    <row r="701" ht="12" customHeight="1" x14ac:dyDescent="0.4"/>
    <row r="702" ht="12" customHeight="1" x14ac:dyDescent="0.4"/>
    <row r="703" ht="12" customHeight="1" x14ac:dyDescent="0.4"/>
    <row r="704" ht="12" customHeight="1" x14ac:dyDescent="0.4"/>
    <row r="705" ht="12" customHeight="1" x14ac:dyDescent="0.4"/>
    <row r="706" ht="12" customHeight="1" x14ac:dyDescent="0.4"/>
    <row r="707" ht="12" customHeight="1" x14ac:dyDescent="0.4"/>
    <row r="708" ht="12" customHeight="1" x14ac:dyDescent="0.4"/>
    <row r="709" ht="12" customHeight="1" x14ac:dyDescent="0.4"/>
    <row r="710" ht="12" customHeight="1" x14ac:dyDescent="0.4"/>
    <row r="711" ht="12" customHeight="1" x14ac:dyDescent="0.4"/>
    <row r="712" ht="12" customHeight="1" x14ac:dyDescent="0.4"/>
    <row r="713" ht="12" customHeight="1" x14ac:dyDescent="0.4"/>
    <row r="714" ht="12" customHeight="1" x14ac:dyDescent="0.4"/>
    <row r="715" ht="12" customHeight="1" x14ac:dyDescent="0.4"/>
    <row r="716" ht="12" customHeight="1" x14ac:dyDescent="0.4"/>
    <row r="717" ht="12" customHeight="1" x14ac:dyDescent="0.4"/>
    <row r="718" ht="12" customHeight="1" x14ac:dyDescent="0.4"/>
    <row r="719" ht="12" customHeight="1" x14ac:dyDescent="0.4"/>
    <row r="720" ht="12" customHeight="1" x14ac:dyDescent="0.4"/>
    <row r="721" ht="12" customHeight="1" x14ac:dyDescent="0.4"/>
    <row r="722" ht="12" customHeight="1" x14ac:dyDescent="0.4"/>
    <row r="723" ht="12" customHeight="1" x14ac:dyDescent="0.4"/>
    <row r="724" ht="12" customHeight="1" x14ac:dyDescent="0.4"/>
    <row r="725" ht="12" customHeight="1" x14ac:dyDescent="0.4"/>
    <row r="726" ht="12" customHeight="1" x14ac:dyDescent="0.4"/>
    <row r="727" ht="12" customHeight="1" x14ac:dyDescent="0.4"/>
    <row r="728" ht="12" customHeight="1" x14ac:dyDescent="0.4"/>
    <row r="729" ht="12" customHeight="1" x14ac:dyDescent="0.4"/>
    <row r="730" ht="12" customHeight="1" x14ac:dyDescent="0.4"/>
    <row r="731" ht="12" customHeight="1" x14ac:dyDescent="0.4"/>
    <row r="732" ht="12" customHeight="1" x14ac:dyDescent="0.4"/>
    <row r="733" ht="12" customHeight="1" x14ac:dyDescent="0.4"/>
    <row r="734" ht="12" customHeight="1" x14ac:dyDescent="0.4"/>
    <row r="735" ht="12" customHeight="1" x14ac:dyDescent="0.4"/>
    <row r="736" ht="12" customHeight="1" x14ac:dyDescent="0.4"/>
    <row r="737" ht="12" customHeight="1" x14ac:dyDescent="0.4"/>
    <row r="738" ht="12" customHeight="1" x14ac:dyDescent="0.4"/>
    <row r="739" ht="12" customHeight="1" x14ac:dyDescent="0.4"/>
    <row r="740" ht="12" customHeight="1" x14ac:dyDescent="0.4"/>
    <row r="741" ht="12" customHeight="1" x14ac:dyDescent="0.4"/>
    <row r="742" ht="12" customHeight="1" x14ac:dyDescent="0.4"/>
    <row r="743" ht="12" customHeight="1" x14ac:dyDescent="0.4"/>
    <row r="744" ht="12" customHeight="1" x14ac:dyDescent="0.4"/>
    <row r="745" ht="12" customHeight="1" x14ac:dyDescent="0.4"/>
    <row r="746" ht="12" customHeight="1" x14ac:dyDescent="0.4"/>
    <row r="747" ht="12" customHeight="1" x14ac:dyDescent="0.4"/>
    <row r="748" ht="12" customHeight="1" x14ac:dyDescent="0.4"/>
    <row r="749" ht="12" customHeight="1" x14ac:dyDescent="0.4"/>
    <row r="750" ht="12" customHeight="1" x14ac:dyDescent="0.4"/>
    <row r="751" ht="12" customHeight="1" x14ac:dyDescent="0.4"/>
    <row r="752" ht="12" customHeight="1" x14ac:dyDescent="0.4"/>
    <row r="753" ht="12" customHeight="1" x14ac:dyDescent="0.4"/>
    <row r="754" ht="12" customHeight="1" x14ac:dyDescent="0.4"/>
    <row r="755" ht="12" customHeight="1" x14ac:dyDescent="0.4"/>
    <row r="756" ht="12" customHeight="1" x14ac:dyDescent="0.4"/>
    <row r="757" ht="12" customHeight="1" x14ac:dyDescent="0.4"/>
    <row r="758" ht="12" customHeight="1" x14ac:dyDescent="0.4"/>
    <row r="759" ht="12" customHeight="1" x14ac:dyDescent="0.4"/>
    <row r="760" ht="12" customHeight="1" x14ac:dyDescent="0.4"/>
    <row r="761" ht="12" customHeight="1" x14ac:dyDescent="0.4"/>
    <row r="762" ht="12" customHeight="1" x14ac:dyDescent="0.4"/>
    <row r="763" ht="12" customHeight="1" x14ac:dyDescent="0.4"/>
    <row r="764" ht="12" customHeight="1" x14ac:dyDescent="0.4"/>
    <row r="765" ht="12" customHeight="1" x14ac:dyDescent="0.4"/>
    <row r="766" ht="12" customHeight="1" x14ac:dyDescent="0.4"/>
    <row r="767" ht="12" customHeight="1" x14ac:dyDescent="0.4"/>
    <row r="768" ht="12" customHeight="1" x14ac:dyDescent="0.4"/>
    <row r="769" ht="12" customHeight="1" x14ac:dyDescent="0.4"/>
    <row r="770" ht="12" customHeight="1" x14ac:dyDescent="0.4"/>
    <row r="771" ht="12" customHeight="1" x14ac:dyDescent="0.4"/>
    <row r="772" ht="12" customHeight="1" x14ac:dyDescent="0.4"/>
    <row r="773" ht="12" customHeight="1" x14ac:dyDescent="0.4"/>
    <row r="774" ht="12" customHeight="1" x14ac:dyDescent="0.4"/>
    <row r="775" ht="12" customHeight="1" x14ac:dyDescent="0.4"/>
    <row r="776" ht="12" customHeight="1" x14ac:dyDescent="0.4"/>
    <row r="777" ht="12" customHeight="1" x14ac:dyDescent="0.4"/>
    <row r="778" ht="12" customHeight="1" x14ac:dyDescent="0.4"/>
    <row r="779" ht="12" customHeight="1" x14ac:dyDescent="0.4"/>
    <row r="780" ht="12" customHeight="1" x14ac:dyDescent="0.4"/>
    <row r="781" ht="12" customHeight="1" x14ac:dyDescent="0.4"/>
    <row r="782" ht="12" customHeight="1" x14ac:dyDescent="0.4"/>
    <row r="783" ht="12" customHeight="1" x14ac:dyDescent="0.4"/>
    <row r="784" ht="12" customHeight="1" x14ac:dyDescent="0.4"/>
    <row r="785" ht="12" customHeight="1" x14ac:dyDescent="0.4"/>
    <row r="786" ht="12" customHeight="1" x14ac:dyDescent="0.4"/>
    <row r="787" ht="12" customHeight="1" x14ac:dyDescent="0.4"/>
    <row r="788" ht="12" customHeight="1" x14ac:dyDescent="0.4"/>
    <row r="789" ht="12" customHeight="1" x14ac:dyDescent="0.4"/>
    <row r="790" ht="12" customHeight="1" x14ac:dyDescent="0.4"/>
    <row r="791" ht="12" customHeight="1" x14ac:dyDescent="0.4"/>
    <row r="792" ht="12" customHeight="1" x14ac:dyDescent="0.4"/>
    <row r="793" ht="12" customHeight="1" x14ac:dyDescent="0.4"/>
    <row r="794" ht="12" customHeight="1" x14ac:dyDescent="0.4"/>
    <row r="795" ht="12" customHeight="1" x14ac:dyDescent="0.4"/>
    <row r="796" ht="12" customHeight="1" x14ac:dyDescent="0.4"/>
    <row r="797" ht="12" customHeight="1" x14ac:dyDescent="0.4"/>
    <row r="798" ht="12" customHeight="1" x14ac:dyDescent="0.4"/>
    <row r="799" ht="12" customHeight="1" x14ac:dyDescent="0.4"/>
    <row r="800" ht="12" customHeight="1" x14ac:dyDescent="0.4"/>
    <row r="801" ht="12" customHeight="1" x14ac:dyDescent="0.4"/>
    <row r="802" ht="12" customHeight="1" x14ac:dyDescent="0.4"/>
    <row r="803" ht="12" customHeight="1" x14ac:dyDescent="0.4"/>
    <row r="804" ht="12" customHeight="1" x14ac:dyDescent="0.4"/>
    <row r="805" ht="12" customHeight="1" x14ac:dyDescent="0.4"/>
    <row r="806" ht="12" customHeight="1" x14ac:dyDescent="0.4"/>
    <row r="807" ht="12" customHeight="1" x14ac:dyDescent="0.4"/>
    <row r="808" ht="12" customHeight="1" x14ac:dyDescent="0.4"/>
    <row r="809" ht="12" customHeight="1" x14ac:dyDescent="0.4"/>
    <row r="810" ht="12" customHeight="1" x14ac:dyDescent="0.4"/>
    <row r="811" ht="12" customHeight="1" x14ac:dyDescent="0.4"/>
    <row r="812" ht="12" customHeight="1" x14ac:dyDescent="0.4"/>
    <row r="813" ht="12" customHeight="1" x14ac:dyDescent="0.4"/>
    <row r="814" ht="12" customHeight="1" x14ac:dyDescent="0.4"/>
    <row r="815" ht="12" customHeight="1" x14ac:dyDescent="0.4"/>
    <row r="816" ht="12" customHeight="1" x14ac:dyDescent="0.4"/>
    <row r="817" ht="12" customHeight="1" x14ac:dyDescent="0.4"/>
    <row r="818" ht="12" customHeight="1" x14ac:dyDescent="0.4"/>
    <row r="819" ht="12" customHeight="1" x14ac:dyDescent="0.4"/>
    <row r="820" ht="12" customHeight="1" x14ac:dyDescent="0.4"/>
    <row r="821" ht="12" customHeight="1" x14ac:dyDescent="0.4"/>
    <row r="822" ht="12" customHeight="1" x14ac:dyDescent="0.4"/>
    <row r="823" ht="12" customHeight="1" x14ac:dyDescent="0.4"/>
    <row r="824" ht="12" customHeight="1" x14ac:dyDescent="0.4"/>
    <row r="825" ht="12" customHeight="1" x14ac:dyDescent="0.4"/>
    <row r="826" ht="12" customHeight="1" x14ac:dyDescent="0.4"/>
    <row r="827" ht="12" customHeight="1" x14ac:dyDescent="0.4"/>
    <row r="828" ht="12" customHeight="1" x14ac:dyDescent="0.4"/>
    <row r="829" ht="12" customHeight="1" x14ac:dyDescent="0.4"/>
    <row r="830" ht="12" customHeight="1" x14ac:dyDescent="0.4"/>
    <row r="831" ht="12" customHeight="1" x14ac:dyDescent="0.4"/>
    <row r="832" ht="12" customHeight="1" x14ac:dyDescent="0.4"/>
    <row r="833" ht="12" customHeight="1" x14ac:dyDescent="0.4"/>
    <row r="834" ht="12" customHeight="1" x14ac:dyDescent="0.4"/>
    <row r="835" ht="12" customHeight="1" x14ac:dyDescent="0.4"/>
    <row r="836" ht="12" customHeight="1" x14ac:dyDescent="0.4"/>
    <row r="837" ht="12" customHeight="1" x14ac:dyDescent="0.4"/>
    <row r="838" ht="12" customHeight="1" x14ac:dyDescent="0.4"/>
    <row r="839" ht="12" customHeight="1" x14ac:dyDescent="0.4"/>
    <row r="840" ht="12" customHeight="1" x14ac:dyDescent="0.4"/>
    <row r="841" ht="12" customHeight="1" x14ac:dyDescent="0.4"/>
    <row r="842" ht="12" customHeight="1" x14ac:dyDescent="0.4"/>
    <row r="843" ht="12" customHeight="1" x14ac:dyDescent="0.4"/>
    <row r="844" ht="12" customHeight="1" x14ac:dyDescent="0.4"/>
    <row r="845" ht="12" customHeight="1" x14ac:dyDescent="0.4"/>
    <row r="846" ht="12" customHeight="1" x14ac:dyDescent="0.4"/>
    <row r="847" ht="12" customHeight="1" x14ac:dyDescent="0.4"/>
    <row r="848" ht="12" customHeight="1" x14ac:dyDescent="0.4"/>
    <row r="849" ht="12" customHeight="1" x14ac:dyDescent="0.4"/>
    <row r="850" ht="12" customHeight="1" x14ac:dyDescent="0.4"/>
    <row r="851" ht="12" customHeight="1" x14ac:dyDescent="0.4"/>
    <row r="852" ht="12" customHeight="1" x14ac:dyDescent="0.4"/>
    <row r="853" ht="12" customHeight="1" x14ac:dyDescent="0.4"/>
    <row r="854" ht="12" customHeight="1" x14ac:dyDescent="0.4"/>
    <row r="855" ht="12" customHeight="1" x14ac:dyDescent="0.4"/>
    <row r="856" ht="12" customHeight="1" x14ac:dyDescent="0.4"/>
    <row r="857" ht="12" customHeight="1" x14ac:dyDescent="0.4"/>
    <row r="858" ht="12" customHeight="1" x14ac:dyDescent="0.4"/>
    <row r="859" ht="12" customHeight="1" x14ac:dyDescent="0.4"/>
    <row r="860" ht="12" customHeight="1" x14ac:dyDescent="0.4"/>
    <row r="861" ht="12" customHeight="1" x14ac:dyDescent="0.4"/>
    <row r="862" ht="12" customHeight="1" x14ac:dyDescent="0.4"/>
    <row r="863" ht="12" customHeight="1" x14ac:dyDescent="0.4"/>
    <row r="864" ht="12" customHeight="1" x14ac:dyDescent="0.4"/>
    <row r="865" ht="12" customHeight="1" x14ac:dyDescent="0.4"/>
    <row r="866" ht="12" customHeight="1" x14ac:dyDescent="0.4"/>
    <row r="867" ht="12" customHeight="1" x14ac:dyDescent="0.4"/>
    <row r="868" ht="12" customHeight="1" x14ac:dyDescent="0.4"/>
    <row r="869" ht="12" customHeight="1" x14ac:dyDescent="0.4"/>
    <row r="870" ht="12" customHeight="1" x14ac:dyDescent="0.4"/>
    <row r="871" ht="12" customHeight="1" x14ac:dyDescent="0.4"/>
    <row r="872" ht="12" customHeight="1" x14ac:dyDescent="0.4"/>
    <row r="873" ht="12" customHeight="1" x14ac:dyDescent="0.4"/>
    <row r="874" ht="12" customHeight="1" x14ac:dyDescent="0.4"/>
    <row r="875" ht="12" customHeight="1" x14ac:dyDescent="0.4"/>
    <row r="876" ht="12" customHeight="1" x14ac:dyDescent="0.4"/>
    <row r="877" ht="12" customHeight="1" x14ac:dyDescent="0.4"/>
    <row r="878" ht="12" customHeight="1" x14ac:dyDescent="0.4"/>
    <row r="879" ht="12" customHeight="1" x14ac:dyDescent="0.4"/>
    <row r="880" ht="12" customHeight="1" x14ac:dyDescent="0.4"/>
    <row r="881" ht="12" customHeight="1" x14ac:dyDescent="0.4"/>
    <row r="882" ht="12" customHeight="1" x14ac:dyDescent="0.4"/>
    <row r="883" ht="12" customHeight="1" x14ac:dyDescent="0.4"/>
    <row r="884" ht="12" customHeight="1" x14ac:dyDescent="0.4"/>
    <row r="885" ht="12" customHeight="1" x14ac:dyDescent="0.4"/>
    <row r="886" ht="12" customHeight="1" x14ac:dyDescent="0.4"/>
    <row r="887" ht="12" customHeight="1" x14ac:dyDescent="0.4"/>
    <row r="888" ht="12" customHeight="1" x14ac:dyDescent="0.4"/>
    <row r="889" ht="12" customHeight="1" x14ac:dyDescent="0.4"/>
    <row r="890" ht="12" customHeight="1" x14ac:dyDescent="0.4"/>
    <row r="891" ht="12" customHeight="1" x14ac:dyDescent="0.4"/>
    <row r="892" ht="12" customHeight="1" x14ac:dyDescent="0.4"/>
    <row r="893" ht="12" customHeight="1" x14ac:dyDescent="0.4"/>
    <row r="894" ht="12" customHeight="1" x14ac:dyDescent="0.4"/>
    <row r="895" ht="12" customHeight="1" x14ac:dyDescent="0.4"/>
    <row r="896" ht="12" customHeight="1" x14ac:dyDescent="0.4"/>
    <row r="897" ht="12" customHeight="1" x14ac:dyDescent="0.4"/>
    <row r="898" ht="12" customHeight="1" x14ac:dyDescent="0.4"/>
    <row r="899" ht="12" customHeight="1" x14ac:dyDescent="0.4"/>
    <row r="900" ht="12" customHeight="1" x14ac:dyDescent="0.4"/>
    <row r="901" ht="12" customHeight="1" x14ac:dyDescent="0.4"/>
    <row r="902" ht="12" customHeight="1" x14ac:dyDescent="0.4"/>
    <row r="903" ht="12" customHeight="1" x14ac:dyDescent="0.4"/>
    <row r="904" ht="12" customHeight="1" x14ac:dyDescent="0.4"/>
    <row r="905" ht="12" customHeight="1" x14ac:dyDescent="0.4"/>
    <row r="906" ht="12" customHeight="1" x14ac:dyDescent="0.4"/>
    <row r="907" ht="12" customHeight="1" x14ac:dyDescent="0.4"/>
    <row r="908" ht="12" customHeight="1" x14ac:dyDescent="0.4"/>
    <row r="909" ht="12" customHeight="1" x14ac:dyDescent="0.4"/>
    <row r="910" ht="12" customHeight="1" x14ac:dyDescent="0.4"/>
    <row r="911" ht="12" customHeight="1" x14ac:dyDescent="0.4"/>
    <row r="912" ht="12" customHeight="1" x14ac:dyDescent="0.4"/>
    <row r="913" ht="12" customHeight="1" x14ac:dyDescent="0.4"/>
    <row r="914" ht="12" customHeight="1" x14ac:dyDescent="0.4"/>
    <row r="915" ht="12" customHeight="1" x14ac:dyDescent="0.4"/>
    <row r="916" ht="12" customHeight="1" x14ac:dyDescent="0.4"/>
    <row r="917" ht="12" customHeight="1" x14ac:dyDescent="0.4"/>
    <row r="918" ht="12" customHeight="1" x14ac:dyDescent="0.4"/>
    <row r="919" ht="12" customHeight="1" x14ac:dyDescent="0.4"/>
    <row r="920" ht="12" customHeight="1" x14ac:dyDescent="0.4"/>
    <row r="921" ht="12" customHeight="1" x14ac:dyDescent="0.4"/>
    <row r="922" ht="12" customHeight="1" x14ac:dyDescent="0.4"/>
    <row r="923" ht="12" customHeight="1" x14ac:dyDescent="0.4"/>
    <row r="924" ht="12" customHeight="1" x14ac:dyDescent="0.4"/>
    <row r="925" ht="12" customHeight="1" x14ac:dyDescent="0.4"/>
    <row r="926" ht="12" customHeight="1" x14ac:dyDescent="0.4"/>
    <row r="927" ht="12" customHeight="1" x14ac:dyDescent="0.4"/>
    <row r="928" ht="12" customHeight="1" x14ac:dyDescent="0.4"/>
    <row r="929" ht="12" customHeight="1" x14ac:dyDescent="0.4"/>
    <row r="930" ht="12" customHeight="1" x14ac:dyDescent="0.4"/>
    <row r="931" ht="12" customHeight="1" x14ac:dyDescent="0.4"/>
    <row r="932" ht="12" customHeight="1" x14ac:dyDescent="0.4"/>
    <row r="933" ht="12" customHeight="1" x14ac:dyDescent="0.4"/>
    <row r="934" ht="12" customHeight="1" x14ac:dyDescent="0.4"/>
    <row r="935" ht="12" customHeight="1" x14ac:dyDescent="0.4"/>
    <row r="936" ht="12" customHeight="1" x14ac:dyDescent="0.4"/>
    <row r="937" ht="12" customHeight="1" x14ac:dyDescent="0.4"/>
    <row r="938" ht="12" customHeight="1" x14ac:dyDescent="0.4"/>
    <row r="939" ht="12" customHeight="1" x14ac:dyDescent="0.4"/>
    <row r="940" ht="12" customHeight="1" x14ac:dyDescent="0.4"/>
    <row r="941" ht="12" customHeight="1" x14ac:dyDescent="0.4"/>
    <row r="942" ht="12" customHeight="1" x14ac:dyDescent="0.4"/>
    <row r="943" ht="12" customHeight="1" x14ac:dyDescent="0.4"/>
    <row r="944" ht="12" customHeight="1" x14ac:dyDescent="0.4"/>
    <row r="945" ht="12" customHeight="1" x14ac:dyDescent="0.4"/>
    <row r="946" ht="12" customHeight="1" x14ac:dyDescent="0.4"/>
    <row r="947" ht="12" customHeight="1" x14ac:dyDescent="0.4"/>
    <row r="948" ht="12" customHeight="1" x14ac:dyDescent="0.4"/>
    <row r="949" ht="12" customHeight="1" x14ac:dyDescent="0.4"/>
    <row r="950" ht="12" customHeight="1" x14ac:dyDescent="0.4"/>
    <row r="951" ht="12" customHeight="1" x14ac:dyDescent="0.4"/>
    <row r="952" ht="12" customHeight="1" x14ac:dyDescent="0.4"/>
    <row r="953" ht="12" customHeight="1" x14ac:dyDescent="0.4"/>
    <row r="954" ht="12" customHeight="1" x14ac:dyDescent="0.4"/>
    <row r="955" ht="12" customHeight="1" x14ac:dyDescent="0.4"/>
    <row r="956" ht="12" customHeight="1" x14ac:dyDescent="0.4"/>
    <row r="957" ht="12" customHeight="1" x14ac:dyDescent="0.4"/>
    <row r="958" ht="12" customHeight="1" x14ac:dyDescent="0.4"/>
    <row r="959" ht="12" customHeight="1" x14ac:dyDescent="0.4"/>
    <row r="960" ht="12" customHeight="1" x14ac:dyDescent="0.4"/>
    <row r="961" ht="12" customHeight="1" x14ac:dyDescent="0.4"/>
    <row r="962" ht="12" customHeight="1" x14ac:dyDescent="0.4"/>
    <row r="963" ht="12" customHeight="1" x14ac:dyDescent="0.4"/>
    <row r="964" ht="12" customHeight="1" x14ac:dyDescent="0.4"/>
    <row r="965" ht="12" customHeight="1" x14ac:dyDescent="0.4"/>
    <row r="966" ht="12" customHeight="1" x14ac:dyDescent="0.4"/>
    <row r="967" ht="12" customHeight="1" x14ac:dyDescent="0.4"/>
    <row r="968" ht="12" customHeight="1" x14ac:dyDescent="0.4"/>
    <row r="969" ht="12" customHeight="1" x14ac:dyDescent="0.4"/>
    <row r="970" ht="12" customHeight="1" x14ac:dyDescent="0.4"/>
    <row r="971" ht="12" customHeight="1" x14ac:dyDescent="0.4"/>
    <row r="972" ht="12" customHeight="1" x14ac:dyDescent="0.4"/>
    <row r="973" ht="12" customHeight="1" x14ac:dyDescent="0.4"/>
    <row r="974" ht="12" customHeight="1" x14ac:dyDescent="0.4"/>
    <row r="975" ht="12" customHeight="1" x14ac:dyDescent="0.4"/>
    <row r="976" ht="12" customHeight="1" x14ac:dyDescent="0.4"/>
    <row r="977" ht="12" customHeight="1" x14ac:dyDescent="0.4"/>
    <row r="978" ht="12" customHeight="1" x14ac:dyDescent="0.4"/>
    <row r="979" ht="12" customHeight="1" x14ac:dyDescent="0.4"/>
    <row r="980" ht="12" customHeight="1" x14ac:dyDescent="0.4"/>
    <row r="981" ht="12" customHeight="1" x14ac:dyDescent="0.4"/>
    <row r="982" ht="12" customHeight="1" x14ac:dyDescent="0.4"/>
    <row r="983" ht="12" customHeight="1" x14ac:dyDescent="0.4"/>
    <row r="984" ht="12" customHeight="1" x14ac:dyDescent="0.4"/>
    <row r="985" ht="12" customHeight="1" x14ac:dyDescent="0.4"/>
    <row r="986" ht="12" customHeight="1" x14ac:dyDescent="0.4"/>
    <row r="987" ht="12" customHeight="1" x14ac:dyDescent="0.4"/>
    <row r="988" ht="12" customHeight="1" x14ac:dyDescent="0.4"/>
    <row r="989" ht="12" customHeight="1" x14ac:dyDescent="0.4"/>
    <row r="990" ht="12" customHeight="1" x14ac:dyDescent="0.4"/>
    <row r="991" ht="12" customHeight="1" x14ac:dyDescent="0.4"/>
    <row r="992" ht="12" customHeight="1" x14ac:dyDescent="0.4"/>
    <row r="993" ht="12" customHeight="1" x14ac:dyDescent="0.4"/>
    <row r="994" ht="12" customHeight="1" x14ac:dyDescent="0.4"/>
    <row r="995" ht="12" customHeight="1" x14ac:dyDescent="0.4"/>
    <row r="996" ht="12" customHeight="1" x14ac:dyDescent="0.4"/>
    <row r="997" ht="12" customHeight="1" x14ac:dyDescent="0.4"/>
    <row r="998" ht="12" customHeight="1" x14ac:dyDescent="0.4"/>
    <row r="999" ht="12" customHeight="1" x14ac:dyDescent="0.4"/>
    <row r="1000" ht="12" customHeight="1" x14ac:dyDescent="0.4"/>
  </sheetData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Project One Instructions</vt:lpstr>
      <vt:lpstr>Formulas</vt:lpstr>
      <vt:lpstr>Charting</vt:lpstr>
      <vt:lpstr>Analysis</vt:lpstr>
      <vt:lpstr>Submission</vt:lpstr>
      <vt:lpstr>Formulas Solutions</vt:lpstr>
      <vt:lpstr>Charting Solutions</vt:lpstr>
      <vt:lpstr>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Ecklund</dc:creator>
  <cp:lastModifiedBy>Salley</cp:lastModifiedBy>
  <dcterms:created xsi:type="dcterms:W3CDTF">2004-02-24T16:01:17Z</dcterms:created>
  <dcterms:modified xsi:type="dcterms:W3CDTF">2022-03-07T19:14:20Z</dcterms:modified>
</cp:coreProperties>
</file>